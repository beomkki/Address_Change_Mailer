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81b4fdd7237a0d/특허법인 성암/Address_Change_Mailer/"/>
    </mc:Choice>
  </mc:AlternateContent>
  <xr:revisionPtr revIDLastSave="20" documentId="8_{58F9EC58-B757-4B67-896E-B6410FF90D83}" xr6:coauthVersionLast="47" xr6:coauthVersionMax="47" xr10:uidLastSave="{8766472C-AEDE-4C9B-B058-91127265D47A}"/>
  <bookViews>
    <workbookView xWindow="-120" yWindow="-120" windowWidth="29040" windowHeight="15720" xr2:uid="{B58A97DC-AC7F-4C9D-AD24-5F00CA83644C}"/>
  </bookViews>
  <sheets>
    <sheet name="Sheet2" sheetId="1" r:id="rId1"/>
    <sheet name="Sheet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2" i="1"/>
  <c r="E31" i="2" a="1"/>
  <c r="E31" i="2" s="1"/>
  <c r="C31" i="2" a="1"/>
  <c r="C31" i="2" s="1"/>
  <c r="E30" i="2" a="1"/>
  <c r="E30" i="2" s="1"/>
  <c r="C30" i="2"/>
  <c r="C30" i="2" a="1"/>
  <c r="E29" i="2" a="1"/>
  <c r="E29" i="2" s="1"/>
  <c r="C29" i="2"/>
  <c r="C29" i="2" a="1"/>
  <c r="E28" i="2" a="1"/>
  <c r="E28" i="2" s="1"/>
  <c r="C28" i="2" a="1"/>
  <c r="C28" i="2" s="1"/>
  <c r="E27" i="2" a="1"/>
  <c r="E27" i="2" s="1"/>
  <c r="C27" i="2"/>
  <c r="C27" i="2" a="1"/>
  <c r="E26" i="2" a="1"/>
  <c r="E26" i="2" s="1"/>
  <c r="C26" i="2" a="1"/>
  <c r="C26" i="2" s="1"/>
  <c r="E25" i="2" a="1"/>
  <c r="E25" i="2" s="1"/>
  <c r="C25" i="2" a="1"/>
  <c r="C25" i="2" s="1"/>
  <c r="E24" i="2" a="1"/>
  <c r="E24" i="2" s="1"/>
  <c r="C24" i="2"/>
  <c r="C24" i="2" a="1"/>
  <c r="E23" i="2" a="1"/>
  <c r="E23" i="2" s="1"/>
  <c r="C23" i="2" a="1"/>
  <c r="C23" i="2" s="1"/>
  <c r="E22" i="2" a="1"/>
  <c r="E22" i="2" s="1"/>
  <c r="C22" i="2" a="1"/>
  <c r="C22" i="2" s="1"/>
  <c r="E21" i="2" a="1"/>
  <c r="E21" i="2" s="1"/>
  <c r="C21" i="2" a="1"/>
  <c r="C21" i="2" s="1"/>
  <c r="E20" i="2" a="1"/>
  <c r="E20" i="2" s="1"/>
  <c r="C20" i="2" a="1"/>
  <c r="C20" i="2" s="1"/>
  <c r="E19" i="2" a="1"/>
  <c r="E19" i="2" s="1"/>
  <c r="C19" i="2" a="1"/>
  <c r="C19" i="2" s="1"/>
  <c r="E18" i="2" a="1"/>
  <c r="E18" i="2" s="1"/>
  <c r="C18" i="2" a="1"/>
  <c r="C18" i="2" s="1"/>
  <c r="E17" i="2" a="1"/>
  <c r="E17" i="2" s="1"/>
  <c r="C17" i="2" a="1"/>
  <c r="C17" i="2" s="1"/>
  <c r="E16" i="2" a="1"/>
  <c r="E16" i="2" s="1"/>
  <c r="C16" i="2" a="1"/>
  <c r="C16" i="2" s="1"/>
  <c r="E15" i="2" a="1"/>
  <c r="E15" i="2" s="1"/>
  <c r="C15" i="2" a="1"/>
  <c r="C15" i="2" s="1"/>
  <c r="E14" i="2" a="1"/>
  <c r="E14" i="2" s="1"/>
  <c r="C14" i="2" a="1"/>
  <c r="C14" i="2" s="1"/>
  <c r="E13" i="2" a="1"/>
  <c r="E13" i="2" s="1"/>
  <c r="C13" i="2" a="1"/>
  <c r="C13" i="2" s="1"/>
  <c r="E12" i="2" a="1"/>
  <c r="E12" i="2" s="1"/>
  <c r="C12" i="2" a="1"/>
  <c r="C12" i="2" s="1"/>
  <c r="E11" i="2" a="1"/>
  <c r="E11" i="2" s="1"/>
  <c r="C11" i="2" a="1"/>
  <c r="C11" i="2" s="1"/>
  <c r="E10" i="2" a="1"/>
  <c r="E10" i="2" s="1"/>
  <c r="C10" i="2" a="1"/>
  <c r="C10" i="2" s="1"/>
  <c r="E9" i="2" a="1"/>
  <c r="E9" i="2" s="1"/>
  <c r="C9" i="2" a="1"/>
  <c r="C9" i="2" s="1"/>
  <c r="E8" i="2" a="1"/>
  <c r="E8" i="2" s="1"/>
  <c r="C8" i="2" a="1"/>
  <c r="C8" i="2" s="1"/>
  <c r="E7" i="2" a="1"/>
  <c r="E7" i="2" s="1"/>
  <c r="C7" i="2" a="1"/>
  <c r="C7" i="2" s="1"/>
  <c r="E6" i="2" a="1"/>
  <c r="E6" i="2" s="1"/>
  <c r="C6" i="2" a="1"/>
  <c r="C6" i="2" s="1"/>
  <c r="C5" i="2" a="1"/>
  <c r="C5" i="2" s="1"/>
  <c r="C4" i="2" a="1"/>
  <c r="C4" i="2" s="1"/>
  <c r="C3" i="2" a="1"/>
  <c r="C3" i="2" s="1"/>
  <c r="C2" i="2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<sst xmlns="http://schemas.openxmlformats.org/spreadsheetml/2006/main" count="917" uniqueCount="481">
  <si>
    <t>77839</t>
  </si>
  <si>
    <t>8</t>
  </si>
  <si>
    <t>DORUSA</t>
  </si>
  <si>
    <t>PA</t>
    <phoneticPr fontId="1" type="noConversion"/>
  </si>
  <si>
    <t>205585</t>
  </si>
  <si>
    <t>3</t>
  </si>
  <si>
    <t>DORCO</t>
  </si>
  <si>
    <t>213522</t>
  </si>
  <si>
    <t>PACE</t>
  </si>
  <si>
    <t>74453</t>
  </si>
  <si>
    <t>199495</t>
  </si>
  <si>
    <t>229886</t>
  </si>
  <si>
    <t>DORCO Prime</t>
  </si>
  <si>
    <t>TZ/T/2019/764</t>
  </si>
  <si>
    <t>DORCO EDGE</t>
  </si>
  <si>
    <t>TZ</t>
    <phoneticPr fontId="1" type="noConversion"/>
  </si>
  <si>
    <t>TZ/T/2018/613</t>
  </si>
  <si>
    <t>TZ/T/2018/000613</t>
  </si>
  <si>
    <t>DORCO TITAN</t>
  </si>
  <si>
    <t>ZN/T/2018/0000805</t>
  </si>
  <si>
    <t>ZN/T/18/805</t>
  </si>
  <si>
    <t>ZZ</t>
    <phoneticPr fontId="1" type="noConversion"/>
  </si>
  <si>
    <t>ZN/T/2018/000224</t>
  </si>
  <si>
    <t>ZN/T/18/0000224</t>
  </si>
  <si>
    <t>ZN/T/2019/374</t>
  </si>
  <si>
    <t>ZN/T/2019/0000374</t>
  </si>
  <si>
    <t>TZ/T/2012/758</t>
  </si>
  <si>
    <t>TZ/T/2018/2359</t>
  </si>
  <si>
    <t>22.273/2016</t>
  </si>
  <si>
    <t/>
  </si>
  <si>
    <t>CD</t>
    <phoneticPr fontId="1" type="noConversion"/>
  </si>
  <si>
    <t>02396/2019</t>
  </si>
  <si>
    <t>NP/0081/RDC/2019</t>
  </si>
  <si>
    <t>FOAM SCRAPER</t>
  </si>
  <si>
    <t>206882</t>
  </si>
  <si>
    <t>94059099</t>
  </si>
  <si>
    <t>CO</t>
    <phoneticPr fontId="1" type="noConversion"/>
  </si>
  <si>
    <t>332305</t>
  </si>
  <si>
    <t>06 91.821</t>
  </si>
  <si>
    <t>420025</t>
  </si>
  <si>
    <t>10-081377</t>
  </si>
  <si>
    <t>434625</t>
  </si>
  <si>
    <t>11048959</t>
  </si>
  <si>
    <t>420024</t>
  </si>
  <si>
    <t>10-081381</t>
  </si>
  <si>
    <t>SHAI</t>
  </si>
  <si>
    <t>111609</t>
  </si>
  <si>
    <t>KE</t>
    <phoneticPr fontId="1" type="noConversion"/>
  </si>
  <si>
    <t>111610</t>
  </si>
  <si>
    <t>127907</t>
  </si>
  <si>
    <t>08</t>
  </si>
  <si>
    <t>ZW/T/2023/37</t>
  </si>
  <si>
    <t>DORCO EVE</t>
  </si>
  <si>
    <t>ZW</t>
    <phoneticPr fontId="1" type="noConversion"/>
  </si>
  <si>
    <t>327/2018</t>
  </si>
  <si>
    <t>DJ</t>
    <phoneticPr fontId="1" type="noConversion"/>
  </si>
  <si>
    <t>477/11/RADM</t>
  </si>
  <si>
    <t>4711RADM</t>
  </si>
  <si>
    <t>4/2023</t>
  </si>
  <si>
    <t>Prime</t>
  </si>
  <si>
    <t>ZM</t>
    <phoneticPr fontId="1" type="noConversion"/>
  </si>
  <si>
    <t>3/2023</t>
  </si>
  <si>
    <t>1332/2016</t>
  </si>
  <si>
    <t>ZM/T/2016/001332</t>
  </si>
  <si>
    <t>466/2018</t>
  </si>
  <si>
    <t>UG/T/2018/063619</t>
  </si>
  <si>
    <t>UG</t>
    <phoneticPr fontId="1" type="noConversion"/>
  </si>
  <si>
    <t>57814</t>
  </si>
  <si>
    <t>UG/T/2017/57814</t>
  </si>
  <si>
    <t>61288</t>
  </si>
  <si>
    <t>UG/T/2018/061288</t>
  </si>
  <si>
    <t>FTM/8157/2020</t>
  </si>
  <si>
    <t>FTM/10347/19</t>
  </si>
  <si>
    <t>ET</t>
    <phoneticPr fontId="1" type="noConversion"/>
  </si>
  <si>
    <t>FTM72092018</t>
  </si>
  <si>
    <t>FTM/8421/2017</t>
  </si>
  <si>
    <t>FTM/8109/2019</t>
  </si>
  <si>
    <t>FTM/9545/2018</t>
  </si>
  <si>
    <t>34667</t>
  </si>
  <si>
    <t>AO</t>
    <phoneticPr fontId="1" type="noConversion"/>
  </si>
  <si>
    <t>58974</t>
  </si>
  <si>
    <t>67430</t>
  </si>
  <si>
    <t>67429</t>
  </si>
  <si>
    <t>67428</t>
  </si>
  <si>
    <t>67431</t>
  </si>
  <si>
    <t>35989</t>
  </si>
  <si>
    <t>DORCO NEW PLATINUM</t>
  </si>
  <si>
    <t>35992</t>
  </si>
  <si>
    <t>DORCO TO 708N</t>
  </si>
  <si>
    <t>35990</t>
  </si>
  <si>
    <t>DORCO TO ZO8N</t>
  </si>
  <si>
    <t>29697</t>
  </si>
  <si>
    <t>39850</t>
  </si>
  <si>
    <t>58750</t>
  </si>
  <si>
    <t>60014</t>
  </si>
  <si>
    <t>SD</t>
    <phoneticPr fontId="1" type="noConversion"/>
  </si>
  <si>
    <t>00311/22</t>
  </si>
  <si>
    <t>412</t>
  </si>
  <si>
    <t>SO</t>
    <phoneticPr fontId="1" type="noConversion"/>
  </si>
  <si>
    <t>00310/22</t>
  </si>
  <si>
    <t>416</t>
  </si>
  <si>
    <t>MoCI/SIPO/00312/2</t>
  </si>
  <si>
    <t>413</t>
  </si>
  <si>
    <t>MoCI/SIPO/00313/2</t>
  </si>
  <si>
    <t>414</t>
  </si>
  <si>
    <t>SIPO/001067/23</t>
  </si>
  <si>
    <t>1660</t>
  </si>
  <si>
    <t>BW/M/2023/00007</t>
  </si>
  <si>
    <t>BW</t>
    <phoneticPr fontId="1" type="noConversion"/>
  </si>
  <si>
    <t>BW/M/2023/00005</t>
  </si>
  <si>
    <t>BW/M/2023/00006</t>
  </si>
  <si>
    <t>295758</t>
  </si>
  <si>
    <t>4-2016-10850</t>
  </si>
  <si>
    <t>I'M WITH DORCO</t>
  </si>
  <si>
    <t>VN</t>
    <phoneticPr fontId="1" type="noConversion"/>
  </si>
  <si>
    <t>292074</t>
  </si>
  <si>
    <t>4-2015-36138</t>
  </si>
  <si>
    <t>DORCO Touch3</t>
  </si>
  <si>
    <t>23262</t>
  </si>
  <si>
    <t>N-0883/96</t>
  </si>
  <si>
    <t>325161</t>
  </si>
  <si>
    <t>4201617387</t>
  </si>
  <si>
    <t>309109</t>
  </si>
  <si>
    <t>4-2016-10849</t>
  </si>
  <si>
    <t>8,35</t>
  </si>
  <si>
    <t>392245</t>
  </si>
  <si>
    <t>4-2019-14557</t>
  </si>
  <si>
    <t>390201</t>
  </si>
  <si>
    <t>4-2019-14845</t>
  </si>
  <si>
    <t>35,8</t>
  </si>
  <si>
    <t>430455</t>
  </si>
  <si>
    <t>4-2020-33712</t>
  </si>
  <si>
    <t>433995</t>
  </si>
  <si>
    <t>4-2020-35693</t>
  </si>
  <si>
    <t>DORCO ECOSHAVE</t>
  </si>
  <si>
    <t>452465</t>
  </si>
  <si>
    <t>4-2020-51713</t>
  </si>
  <si>
    <t>DORCO RAPID</t>
  </si>
  <si>
    <t>551619</t>
  </si>
  <si>
    <t>4-2023-42809</t>
  </si>
  <si>
    <t>21</t>
  </si>
  <si>
    <t>4-0344044-000</t>
  </si>
  <si>
    <t>4-2017-28939</t>
  </si>
  <si>
    <t>ZEXT</t>
  </si>
  <si>
    <t>226921</t>
  </si>
  <si>
    <t>4-2012-21582</t>
  </si>
  <si>
    <t>DORCO TG-Ⅱ</t>
  </si>
  <si>
    <t>245015</t>
  </si>
  <si>
    <t>4-2014-00578</t>
  </si>
  <si>
    <t>TINKLE</t>
  </si>
  <si>
    <t>4-2023-23766</t>
  </si>
  <si>
    <t>DORCO SUPERB</t>
  </si>
  <si>
    <t>4-2023-42813</t>
  </si>
  <si>
    <t>08,21</t>
  </si>
  <si>
    <t>SCHAFFEN</t>
  </si>
  <si>
    <t>4-2023-42810</t>
  </si>
  <si>
    <t>DORCO PROCUT</t>
  </si>
  <si>
    <t>4-2023-50456</t>
  </si>
  <si>
    <t>EVE</t>
  </si>
  <si>
    <t>4-2023-49714</t>
  </si>
  <si>
    <t>mychef</t>
  </si>
  <si>
    <t>4-2025-10676</t>
  </si>
  <si>
    <t>PACE CROSS</t>
  </si>
  <si>
    <t>TM/2024/002179</t>
  </si>
  <si>
    <t>MM/T/2020/005241</t>
  </si>
  <si>
    <t>MI</t>
    <phoneticPr fontId="1" type="noConversion"/>
  </si>
  <si>
    <t>TM/2024/002178</t>
  </si>
  <si>
    <t>MM/T/2020/005240</t>
  </si>
  <si>
    <t>TM/2024/002180</t>
  </si>
  <si>
    <t>MM/T/2020/005242</t>
  </si>
  <si>
    <t>TM/2024/002181</t>
  </si>
  <si>
    <t>MM/T/2020/005243</t>
  </si>
  <si>
    <t>35576</t>
  </si>
  <si>
    <t>MZ/T/2018/035576</t>
  </si>
  <si>
    <t>MZ</t>
    <phoneticPr fontId="1" type="noConversion"/>
  </si>
  <si>
    <t>40466</t>
  </si>
  <si>
    <t>MZ/T/2020/040466</t>
  </si>
  <si>
    <t>47154</t>
  </si>
  <si>
    <t>MZ/T/2023/047154</t>
  </si>
  <si>
    <t>25531/2019</t>
  </si>
  <si>
    <t>MU/M/2018/28382</t>
  </si>
  <si>
    <t>MU</t>
    <phoneticPr fontId="1" type="noConversion"/>
  </si>
  <si>
    <t>MU/M/2017/24496</t>
  </si>
  <si>
    <t>34027/2023</t>
  </si>
  <si>
    <t>MU/M/2023/37365</t>
  </si>
  <si>
    <t>34024/2023</t>
  </si>
  <si>
    <t>MU/M/2023/37366</t>
  </si>
  <si>
    <t>34030/2023</t>
  </si>
  <si>
    <t>MU/M/2023/37381</t>
  </si>
  <si>
    <t>MW/TM/2017/00801</t>
  </si>
  <si>
    <t>MW</t>
    <phoneticPr fontId="1" type="noConversion"/>
  </si>
  <si>
    <t>MW/TM/2023/00002</t>
  </si>
  <si>
    <t>MW/TM/2023/00001</t>
  </si>
  <si>
    <t>MW/TM/2023/00003</t>
  </si>
  <si>
    <t>24934</t>
  </si>
  <si>
    <t>20230044</t>
  </si>
  <si>
    <t>MG</t>
    <phoneticPr fontId="1" type="noConversion"/>
  </si>
  <si>
    <t>24935</t>
  </si>
  <si>
    <t>20230045</t>
  </si>
  <si>
    <t>LR/M/2018/00050</t>
  </si>
  <si>
    <t>LR</t>
    <phoneticPr fontId="1" type="noConversion"/>
  </si>
  <si>
    <t>LR/M/2019/00080</t>
  </si>
  <si>
    <t>AP/M/2019/00080</t>
  </si>
  <si>
    <t>319833</t>
  </si>
  <si>
    <t>2023-32977</t>
  </si>
  <si>
    <t>DO</t>
    <phoneticPr fontId="1" type="noConversion"/>
  </si>
  <si>
    <t>302091</t>
  </si>
  <si>
    <t>2023-32979</t>
  </si>
  <si>
    <t>301525</t>
  </si>
  <si>
    <t>2023-29953</t>
  </si>
  <si>
    <t>302094</t>
  </si>
  <si>
    <t>2023-32980</t>
  </si>
  <si>
    <t>2015-14454</t>
  </si>
  <si>
    <t>284037</t>
  </si>
  <si>
    <t>2015-14457</t>
  </si>
  <si>
    <t>M2017119549LM</t>
  </si>
  <si>
    <t>2016-004310</t>
  </si>
  <si>
    <t>NI</t>
    <phoneticPr fontId="1" type="noConversion"/>
  </si>
  <si>
    <t>2014104593LM</t>
  </si>
  <si>
    <t>2011-004093</t>
  </si>
  <si>
    <t>700063</t>
  </si>
  <si>
    <t>2021133041 LM</t>
  </si>
  <si>
    <t>2020-002238</t>
  </si>
  <si>
    <t>2018/18220</t>
  </si>
  <si>
    <t>DORCO Eve</t>
  </si>
  <si>
    <t>ZA</t>
    <phoneticPr fontId="1" type="noConversion"/>
  </si>
  <si>
    <t>2019/00151</t>
  </si>
  <si>
    <t>2019/11994</t>
  </si>
  <si>
    <t>2017/10148</t>
  </si>
  <si>
    <t>16</t>
  </si>
  <si>
    <t>2015/23805</t>
  </si>
  <si>
    <t>2012-29429</t>
  </si>
  <si>
    <t>2012/29429</t>
  </si>
  <si>
    <t>2015/23806</t>
  </si>
  <si>
    <t>94/14245</t>
  </si>
  <si>
    <t>1994/14245</t>
  </si>
  <si>
    <t>2015/23807</t>
  </si>
  <si>
    <t>2015/23808</t>
  </si>
  <si>
    <t>2011/09128</t>
  </si>
  <si>
    <t>201109128</t>
  </si>
  <si>
    <t>2015/23804</t>
  </si>
  <si>
    <t>FTM2012/1143</t>
  </si>
  <si>
    <t>NG</t>
    <phoneticPr fontId="1" type="noConversion"/>
  </si>
  <si>
    <t>FTM2012/1150</t>
  </si>
  <si>
    <t>FTM201106642</t>
  </si>
  <si>
    <t>99637</t>
  </si>
  <si>
    <t>FTM2012/08457</t>
  </si>
  <si>
    <t>DORCO SOFT TOUCH</t>
  </si>
  <si>
    <t>54447</t>
  </si>
  <si>
    <t>TP22467</t>
  </si>
  <si>
    <t>33192</t>
  </si>
  <si>
    <t>F/TM/O/2015/49128</t>
  </si>
  <si>
    <t>FTM2012/1194</t>
  </si>
  <si>
    <t>DORCO Design(blue)</t>
  </si>
  <si>
    <t>FTM2012/1197</t>
  </si>
  <si>
    <t>DORCO Design(yellow)</t>
  </si>
  <si>
    <t>F/TM/O/2020/171325</t>
  </si>
  <si>
    <t>F/TM/O/2020/171323</t>
  </si>
  <si>
    <t>NA/T/2023/10</t>
  </si>
  <si>
    <t>NA</t>
    <phoneticPr fontId="1" type="noConversion"/>
  </si>
  <si>
    <t>NA/T/2023/9</t>
  </si>
  <si>
    <t>NA/T/2023/8</t>
  </si>
  <si>
    <t>GM/M/2018/00054</t>
  </si>
  <si>
    <t>GM</t>
    <phoneticPr fontId="1" type="noConversion"/>
  </si>
  <si>
    <t>51618</t>
  </si>
  <si>
    <t>868/2018</t>
  </si>
  <si>
    <t>GH</t>
    <phoneticPr fontId="1" type="noConversion"/>
  </si>
  <si>
    <t>83373</t>
  </si>
  <si>
    <t>3201501252</t>
  </si>
  <si>
    <t>OA</t>
    <phoneticPr fontId="1" type="noConversion"/>
  </si>
  <si>
    <t>106106</t>
  </si>
  <si>
    <t>114325</t>
  </si>
  <si>
    <t>3202001067</t>
  </si>
  <si>
    <t>114324</t>
  </si>
  <si>
    <t>3202001066</t>
  </si>
  <si>
    <t>70154</t>
  </si>
  <si>
    <t>3201200185</t>
  </si>
  <si>
    <t>3202502194</t>
  </si>
  <si>
    <t>Country Code</t>
    <phoneticPr fontId="1" type="noConversion"/>
  </si>
  <si>
    <t>Mark</t>
    <phoneticPr fontId="1" type="noConversion"/>
  </si>
  <si>
    <t>Class</t>
    <phoneticPr fontId="1" type="noConversion"/>
  </si>
  <si>
    <t>Appl. Date</t>
    <phoneticPr fontId="1" type="noConversion"/>
  </si>
  <si>
    <t>Appl. No.</t>
    <phoneticPr fontId="1" type="noConversion"/>
  </si>
  <si>
    <t>Reg. Date</t>
    <phoneticPr fontId="1" type="noConversion"/>
  </si>
  <si>
    <t>Reg. No.</t>
    <phoneticPr fontId="1" type="noConversion"/>
  </si>
  <si>
    <t>TNB200 Package TYPE2</t>
  </si>
  <si>
    <t>TNB200 Package TYPE1</t>
  </si>
  <si>
    <t>TD708 Package 1</t>
  </si>
  <si>
    <t>New CI</t>
  </si>
  <si>
    <t>DNewLogo</t>
  </si>
  <si>
    <t>DORCO TITAN Package</t>
  </si>
  <si>
    <t>DORCO TITAN Blade</t>
  </si>
  <si>
    <t>DORCO Blade Package</t>
  </si>
  <si>
    <t>수신</t>
    <phoneticPr fontId="1" type="noConversion"/>
  </si>
  <si>
    <t>참조</t>
    <phoneticPr fontId="1" type="noConversion"/>
  </si>
  <si>
    <t>국가명칭</t>
    <phoneticPr fontId="1" type="noConversion"/>
  </si>
  <si>
    <t>코드</t>
    <phoneticPr fontId="7" type="noConversion"/>
  </si>
  <si>
    <t>현지대리인</t>
    <phoneticPr fontId="7" type="noConversion"/>
  </si>
  <si>
    <t>AO</t>
    <phoneticPr fontId="7" type="noConversion"/>
  </si>
  <si>
    <t>VON</t>
    <phoneticPr fontId="7" type="noConversion"/>
  </si>
  <si>
    <t>BW</t>
    <phoneticPr fontId="7" type="noConversion"/>
  </si>
  <si>
    <t>ENSAfrica</t>
    <phoneticPr fontId="7" type="noConversion"/>
  </si>
  <si>
    <t>CD</t>
    <phoneticPr fontId="7" type="noConversion"/>
  </si>
  <si>
    <t>CO</t>
    <phoneticPr fontId="7" type="noConversion"/>
  </si>
  <si>
    <t>CASTELLANOS &amp; Co.</t>
    <phoneticPr fontId="7" type="noConversion"/>
  </si>
  <si>
    <t>DJ</t>
    <phoneticPr fontId="7" type="noConversion"/>
  </si>
  <si>
    <t>DO</t>
    <phoneticPr fontId="7" type="noConversion"/>
  </si>
  <si>
    <t>ET</t>
    <phoneticPr fontId="7" type="noConversion"/>
  </si>
  <si>
    <t>GH</t>
    <phoneticPr fontId="7" type="noConversion"/>
  </si>
  <si>
    <t>GM</t>
    <phoneticPr fontId="7" type="noConversion"/>
  </si>
  <si>
    <t>KE</t>
    <phoneticPr fontId="7" type="noConversion"/>
  </si>
  <si>
    <t>LR</t>
    <phoneticPr fontId="7" type="noConversion"/>
  </si>
  <si>
    <t>MG</t>
    <phoneticPr fontId="7" type="noConversion"/>
  </si>
  <si>
    <t>MI</t>
    <phoneticPr fontId="7" type="noConversion"/>
  </si>
  <si>
    <t>Tilleke (미얀마)</t>
    <phoneticPr fontId="7" type="noConversion"/>
  </si>
  <si>
    <t>MU</t>
    <phoneticPr fontId="7" type="noConversion"/>
  </si>
  <si>
    <t>MW</t>
    <phoneticPr fontId="7" type="noConversion"/>
  </si>
  <si>
    <t>MZ</t>
    <phoneticPr fontId="7" type="noConversion"/>
  </si>
  <si>
    <t>NA</t>
    <phoneticPr fontId="7" type="noConversion"/>
  </si>
  <si>
    <t>NG</t>
    <phoneticPr fontId="7" type="noConversion"/>
  </si>
  <si>
    <t>NI</t>
    <phoneticPr fontId="7" type="noConversion"/>
  </si>
  <si>
    <t>OA</t>
    <phoneticPr fontId="7" type="noConversion"/>
  </si>
  <si>
    <t>PA</t>
    <phoneticPr fontId="7" type="noConversion"/>
  </si>
  <si>
    <t>SD</t>
    <phoneticPr fontId="7" type="noConversion"/>
  </si>
  <si>
    <t>SO</t>
    <phoneticPr fontId="7" type="noConversion"/>
  </si>
  <si>
    <t>TZ</t>
    <phoneticPr fontId="7" type="noConversion"/>
  </si>
  <si>
    <t>UG</t>
    <phoneticPr fontId="7" type="noConversion"/>
  </si>
  <si>
    <t>VN</t>
    <phoneticPr fontId="7" type="noConversion"/>
  </si>
  <si>
    <t>Vision</t>
    <phoneticPr fontId="7" type="noConversion"/>
  </si>
  <si>
    <t>ZA</t>
    <phoneticPr fontId="7" type="noConversion"/>
  </si>
  <si>
    <t>ZM</t>
    <phoneticPr fontId="7" type="noConversion"/>
  </si>
  <si>
    <t>ZW</t>
    <phoneticPr fontId="7" type="noConversion"/>
  </si>
  <si>
    <t>ZZ</t>
    <phoneticPr fontId="7" type="noConversion"/>
  </si>
  <si>
    <t>To</t>
    <phoneticPr fontId="7" type="noConversion"/>
  </si>
  <si>
    <t>CC</t>
    <phoneticPr fontId="7" type="noConversion"/>
  </si>
  <si>
    <t>Angola</t>
    <phoneticPr fontId="7" type="noConversion"/>
  </si>
  <si>
    <t>Botswana</t>
    <phoneticPr fontId="7" type="noConversion"/>
  </si>
  <si>
    <t>Democratic Republic of the Congo</t>
    <phoneticPr fontId="7" type="noConversion"/>
  </si>
  <si>
    <t>Colombia</t>
    <phoneticPr fontId="7" type="noConversion"/>
  </si>
  <si>
    <t>Castillo y Castillo</t>
    <phoneticPr fontId="7" type="noConversion"/>
  </si>
  <si>
    <t>Guy Jose Bendana-Guerrero &amp; Asociados</t>
    <phoneticPr fontId="7" type="noConversion"/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</si>
  <si>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trademark43@sungampat.com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</si>
  <si>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trademark44@sungampat.com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</si>
  <si>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trademark45@sungampat.com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</si>
  <si>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trademark46@sungampat.com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</si>
  <si>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trademark47@sungampat.com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</si>
  <si>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trademark48@sungampat.com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</si>
  <si>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trademark49@sungampat.com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</si>
  <si>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trademark50@sungampat.com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</si>
  <si>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trademark51@sungampat.com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</si>
  <si>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trademark52@sungampat.com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</si>
  <si>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trademark53@sungampat.com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</si>
  <si>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trademark54@sungampat.com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</si>
  <si>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trademark55@sungampat.com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</si>
  <si>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trademark56@sungampat.com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</si>
  <si>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trademark57@sungampat.com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</si>
  <si>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trademark58@sungampat.com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</si>
  <si>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trademark59@sungampat.com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</si>
  <si>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trademark60@sungampat.com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</si>
  <si>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trademark61@sungampat.com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</si>
  <si>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trademark62@sungampat.com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</si>
  <si>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trademark63@sungampat.com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</si>
  <si>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trademark64@sungampat.com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</si>
  <si>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trademark65@sungampat.com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</si>
  <si>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trademark66@sungampat.com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</si>
  <si>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trademark67@sungampat.com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</si>
  <si>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trademark68@sungampat.com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</si>
  <si>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trademark69@sungampat.com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</si>
  <si>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trademark70@sungampat.com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</si>
  <si>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trademark71@sungampat.com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</si>
  <si>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trademark72@sungampat.com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</si>
  <si>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trademark73@sungampat.com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</si>
  <si>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trademark74@sungampat.com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</si>
  <si>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trademark75@sungampat.com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</si>
  <si>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trademark76@sungampat.com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</si>
  <si>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trademark77@sungampat.com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</si>
  <si>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trademark78@sungampat.com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</si>
  <si>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trademark79@sungampat.com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</si>
  <si>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trademark80@sungampat.com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</si>
  <si>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trademark81@sungampat.com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</si>
  <si>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trademark82@sungampat.com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</si>
  <si>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trademark83@sungampat.com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</si>
  <si>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trademark84@sungampat.com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</si>
  <si>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trademark85@sungampat.com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</si>
  <si>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trademark86@sungampat.com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</si>
  <si>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trademark87@sungampat.com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</si>
  <si>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trademark88@sungampat.com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</si>
  <si>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trademark89@sungampat.com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</si>
  <si>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trademark90@sungampat.com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</si>
  <si>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trademark91@sungampat.com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</si>
  <si>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trademark92@sungampat.com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</si>
  <si>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trademark93@sungampat.com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</si>
  <si>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trademark94@sungampat.com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</si>
  <si>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trademark95@sungampat.com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</si>
  <si>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trademark96@sungampat.com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</si>
  <si>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trademark97@sungampat.com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</si>
  <si>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trademark98@sungampat.com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</si>
  <si>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trademark99@sungampat.com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</si>
  <si>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trademark100@sungampat.com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</si>
  <si>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trademark101@sungampat.com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</si>
  <si>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trademark102@sungampat.com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</si>
  <si>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trademark103@sungampat.com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</si>
  <si>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trademark104@sungampat.com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</si>
  <si>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trademark105@sungampat.com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</si>
  <si>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trademark106@sungampat.com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</si>
  <si>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trademark107@sungampat.com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</si>
  <si>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trademark108@sungampat.com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</si>
  <si>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trademark109@sungampat.com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</si>
  <si>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trademark110@sungampat.com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</si>
  <si>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trademark111@sungampat.com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</si>
  <si>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trademark112@sungampat.com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</si>
  <si>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trademark113@sungampat.com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</si>
  <si>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trademark114@sungampat.com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</si>
  <si>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trademark115@sungampat.com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</si>
  <si>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trademark116@sungampat.com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</si>
  <si>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trademark117@sungampat.com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</si>
  <si>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trademark118@sungampat.com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</si>
  <si>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trademark119@sungampat.com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</si>
  <si>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trademark120@sungampat.com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</si>
  <si>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trademark121@sungampat.com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</si>
  <si>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trademark122@sungampat.com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</si>
  <si>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trademark123@sungampat.com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</si>
  <si>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trademark124@sungampat.com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</si>
  <si>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trademark125@sungampat.com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</si>
  <si>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trademark126@sungampat.com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</si>
  <si>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trademark127@sungampat.com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</si>
  <si>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trademark128@sungampat.com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</si>
  <si>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trademark129@sungampat.com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</si>
  <si>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trademark130@sungampat.com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</si>
  <si>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trademark131@sungampat.com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</si>
  <si>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trademark132@sungampat.com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</si>
  <si>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trademark133@sungampat.com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</si>
  <si>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trademark134@sungampat.com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</si>
  <si>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trademark135@sungampat.com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</si>
  <si>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trademark136@sungampat.com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</si>
  <si>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trademark137@sungampat.com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</si>
  <si>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trademark138@sungampat.com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</si>
  <si>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trademark139@sungampat.com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</si>
  <si>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trademark140@sungampat.com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</si>
  <si>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trademark141@sungampat.com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</si>
  <si>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trademark142@sungampat.com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</si>
  <si>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trademark143@sungampat.com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</si>
  <si>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trademark144@sungampat.com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</si>
  <si>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trademark145@sungampat.com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</si>
  <si>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trademark146@sungampat.com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</si>
  <si>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trademark147@sungampat.com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</si>
  <si>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trademark148@sungampat.com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</si>
  <si>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trademark149@sungampat.com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</si>
  <si>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trademark150@sungampat.com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</si>
  <si>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trademark151@sungampat.com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</si>
  <si>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trademark152@sungampat.com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</si>
  <si>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trademark153@sungampat.com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</si>
  <si>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trademark154@sungampat.com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</si>
  <si>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trademark155@sungampat.com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</si>
  <si>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trademark156@sungampat.com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</si>
  <si>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trademark157@sungampat.com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</si>
  <si>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trademark158@sungampat.com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</si>
  <si>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trademark159@sungampat.com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</si>
  <si>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trademark160@sungampat.com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</si>
  <si>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trademark161@sungampat.com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</si>
  <si>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trademark162@sungampat.com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</si>
  <si>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trademark163@sungampat.com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</si>
  <si>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trademark164@sungampat.com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</si>
  <si>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trademark165@sungampat.com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</si>
  <si>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trademark166@sungampat.com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</si>
  <si>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trademark167@sungampat.com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</si>
  <si>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trademark168@sungampat.com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</si>
  <si>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trademark169@sungampat.com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</si>
  <si>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trademark170@sungampat.com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</si>
  <si>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trademark171@sungampat.com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</si>
  <si>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trademark172@sungampat.com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</si>
  <si>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trademark173@sungampat.com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</si>
  <si>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trademark174@sungampat.com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</si>
  <si>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trademark175@sungampat.com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</si>
  <si>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trademark176@sungampat.com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</si>
  <si>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trademark177@sungampat.com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</si>
  <si>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trademark178@sungampat.com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</si>
  <si>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trademark179@sungampat.com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</si>
  <si>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trademark180@sungampat.com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</si>
  <si>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trademark181@sungampat.com</t>
  </si>
  <si>
    <t>특허법인 성암/전숙현 변리사 &lt;shjeon@sungampat.com&gt;; 'trademark@sungampat.com'; 특허법인 성암/예희남 차장 &lt;trademark22@sungampat.com&gt;; 특허법인 성암/오연지 대리 &lt;trademark37@sungampat.com&gt;; 특허법인 성암/진주 대리 &lt;trademark39@sungampat.com&gt;; 특허법인 성암/양은혜 과장 &lt;trademark42@sungampat.com&gt;; trademark182@sungampat.com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</si>
</sst>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family val="2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1"/>
      <color rgb="FF006100"/>
      <name val="맑은 고딕"/>
      <family val="2"/>
      <charset val="129"/>
      <scheme val="minor"/>
    </font>
    <font>
      <sz val="10"/>
      <name val="Arial Unicode MS"/>
      <family val="2"/>
      <charset val="129"/>
    </font>
    <font>
      <sz val="10"/>
      <name val="굴림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>
      <alignment vertical="center"/>
    </xf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4" borderId="7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681b4fdd7237a0d/&#53945;&#54728;&#48277;&#51064;%20&#49457;&#50516;/&#47700;&#51068;&#47553;%20&#47532;&#49828;&#53944;.xlsx" TargetMode="External"/><Relationship Id="rId1" Type="http://schemas.openxmlformats.org/officeDocument/2006/relationships/externalLinkPath" Target="/0681b4fdd7237a0d/&#53945;&#54728;&#48277;&#51064;%20&#49457;&#50516;/&#47700;&#51068;&#47553;%20&#47532;&#49828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Sheet2"/>
    </sheetNames>
    <sheetDataSet>
      <sheetData sheetId="0">
        <row r="2">
          <cell r="A2" t="str">
            <v>AD</v>
          </cell>
          <cell r="B2" t="str">
            <v>ASTURGO, MATEU &amp; associats</v>
          </cell>
          <cell r="C2" t="str">
            <v>Andorra</v>
          </cell>
          <cell r="D2" t="str">
            <v>trademarks@asturgomateu.ad</v>
          </cell>
        </row>
        <row r="3">
          <cell r="A3" t="str">
            <v>AR</v>
          </cell>
          <cell r="B3" t="str">
            <v>PALACIO</v>
          </cell>
          <cell r="C3" t="str">
            <v>Argentina</v>
          </cell>
          <cell r="D3" t="str">
            <v>palacio@palacio.com.ar; marcas@palacio.com.ar</v>
          </cell>
        </row>
        <row r="4">
          <cell r="A4" t="str">
            <v>BD</v>
          </cell>
          <cell r="B4" t="str">
            <v>ISLAM &amp; CO</v>
          </cell>
          <cell r="C4" t="str">
            <v>Bangladesh</v>
          </cell>
          <cell r="D4" t="str">
            <v>information@islamandcolawoffice.com</v>
          </cell>
        </row>
        <row r="5">
          <cell r="A5" t="str">
            <v>BM</v>
          </cell>
          <cell r="B5" t="str">
            <v>Hilborne, Hawkin &amp; Co.</v>
          </cell>
          <cell r="C5" t="str">
            <v>Bermuda</v>
          </cell>
          <cell r="D5" t="str">
            <v>ukhan@hilbornehawkin.com; Info@hilbornehawkin.com</v>
          </cell>
        </row>
        <row r="6">
          <cell r="A6" t="str">
            <v>BO</v>
          </cell>
          <cell r="B6" t="str">
            <v>Sorvill</v>
          </cell>
          <cell r="C6" t="str">
            <v>Bolivia</v>
          </cell>
          <cell r="D6" t="str">
            <v>sorvill@sorvill.com</v>
          </cell>
        </row>
        <row r="7">
          <cell r="A7" t="str">
            <v>BS</v>
          </cell>
          <cell r="B7" t="str">
            <v>Mosko &amp; Associates (구: Mary C. Katina mosko)</v>
          </cell>
          <cell r="C7" t="str">
            <v>Bahamas</v>
          </cell>
          <cell r="D7" t="str">
            <v>Katina Mosko' &lt;kmosko@moskolaw.com&gt;</v>
          </cell>
        </row>
        <row r="8">
          <cell r="A8" t="str">
            <v>CN</v>
          </cell>
          <cell r="B8" t="str">
            <v>LIU</v>
          </cell>
          <cell r="C8" t="str">
            <v>China</v>
          </cell>
          <cell r="D8" t="str">
            <v>yuanmab@liu-shen.com; yuanyuan@liu-shen.com</v>
          </cell>
        </row>
        <row r="9">
          <cell r="A9" t="str">
            <v>CR</v>
          </cell>
          <cell r="B9" t="str">
            <v>Iberbrand Intellectual LLC</v>
          </cell>
          <cell r="C9" t="str">
            <v>Costa Rica</v>
          </cell>
          <cell r="D9" t="str">
            <v>Foreigntrademark &lt;foreigntrademark@iberbrand.com&gt;</v>
          </cell>
        </row>
        <row r="10">
          <cell r="A10" t="str">
            <v>DM</v>
          </cell>
          <cell r="B10" t="str">
            <v>AC INTELLECTUAL PROPERTY SERVICES, S. A.(구: Asesores del Ca</v>
          </cell>
          <cell r="C10" t="str">
            <v>Dominica</v>
          </cell>
          <cell r="D10" t="str">
            <v>asesoresip@asesoresdelcaribe.com</v>
          </cell>
        </row>
        <row r="11">
          <cell r="A11" t="str">
            <v>DO</v>
          </cell>
          <cell r="B11" t="str">
            <v>Castillo y Castillo</v>
          </cell>
          <cell r="C11" t="str">
            <v>Dominican Republic</v>
          </cell>
          <cell r="D11" t="str">
            <v>trademarks@castillo.com.do</v>
          </cell>
        </row>
        <row r="12">
          <cell r="A12" t="str">
            <v>EC</v>
          </cell>
          <cell r="B12" t="str">
            <v>Bermeo &amp; Bermeo Law Firm</v>
          </cell>
          <cell r="C12" t="str">
            <v>Ecuador</v>
          </cell>
          <cell r="D12" t="str">
            <v>mail@bermeolaw.com</v>
          </cell>
        </row>
        <row r="13">
          <cell r="A13" t="str">
            <v>EC</v>
          </cell>
          <cell r="B13" t="str">
            <v>Bermeo</v>
          </cell>
          <cell r="C13" t="str">
            <v>Ecuador</v>
          </cell>
          <cell r="D13" t="str">
            <v>mail@bermeolaw.com</v>
          </cell>
        </row>
        <row r="14">
          <cell r="A14" t="str">
            <v>EL</v>
          </cell>
          <cell r="B14" t="str">
            <v>Eproint (Portal IP)(EL)</v>
          </cell>
          <cell r="C14" t="str">
            <v>El Salvador</v>
          </cell>
          <cell r="D14" t="str">
            <v>mcarrillo@eproint.com</v>
          </cell>
        </row>
        <row r="15">
          <cell r="A15" t="str">
            <v>FR</v>
          </cell>
          <cell r="B15" t="str">
            <v>CASALONGA</v>
          </cell>
          <cell r="C15" t="str">
            <v>France</v>
          </cell>
          <cell r="D15" t="str">
            <v>Claire de DEMANDOLX (Casalonga)' &lt;c.demandolx@casalonga.com&gt;; 'Elsa TROMBITAS (Casalonga)' &lt;e.trombitas@casalonga.com&gt;; 'Karina DIMIDJIAN-LECOMTE (Casalonga)' &lt;k.dimidjian@casalonga.com&gt;; 'Laurent CAVALLIER (Casalonga)' &lt;l.cavallier@casalonga.com&gt;; 'Klervi HENRY (Casalonga)' &lt;k.henry@casalonga.com&gt;; 'Monica FERREIRA (Casalonga)' &lt;m.ferreira@casalonga.com&gt;</v>
          </cell>
        </row>
        <row r="16">
          <cell r="A16" t="str">
            <v>GT</v>
          </cell>
          <cell r="B16" t="str">
            <v>Viteri &amp; Viteri</v>
          </cell>
          <cell r="C16" t="str">
            <v>Guatemala</v>
          </cell>
          <cell r="D16" t="str">
            <v>contacto@viteriviteri.com</v>
          </cell>
        </row>
        <row r="17">
          <cell r="A17" t="str">
            <v>GT</v>
          </cell>
          <cell r="B17" t="str">
            <v>Viteri</v>
          </cell>
          <cell r="C17" t="str">
            <v>Guatemala</v>
          </cell>
          <cell r="D17" t="str">
            <v>contacto@viteriviteri.com</v>
          </cell>
        </row>
        <row r="18">
          <cell r="A18" t="str">
            <v>GY</v>
          </cell>
          <cell r="B18" t="str">
            <v>MATHYS &amp; SQUIRE LLP (London)</v>
          </cell>
          <cell r="C18" t="str">
            <v>Guyana</v>
          </cell>
          <cell r="D18" t="str">
            <v>Rebecca Tew &lt;RLTew@mathys-squire.com&gt;</v>
          </cell>
        </row>
        <row r="19">
          <cell r="A19" t="str">
            <v>HK</v>
          </cell>
          <cell r="B19" t="str">
            <v xml:space="preserve">Wilkinson </v>
          </cell>
          <cell r="C19" t="str">
            <v>Hong Kong</v>
          </cell>
          <cell r="D19" t="str">
            <v>trademarks@wilgrist.com</v>
          </cell>
        </row>
        <row r="20">
          <cell r="A20" t="str">
            <v>HN</v>
          </cell>
          <cell r="B20" t="str">
            <v>Bufete Mejia &amp; Asociado</v>
          </cell>
          <cell r="C20" t="str">
            <v>Honduras</v>
          </cell>
          <cell r="D20" t="str">
            <v xml:space="preserve">ipadmin1@bufetemejia.com </v>
          </cell>
        </row>
        <row r="21">
          <cell r="A21" t="str">
            <v>HN</v>
          </cell>
          <cell r="B21" t="str">
            <v>Bufete Mejia</v>
          </cell>
          <cell r="C21" t="str">
            <v>Honduras</v>
          </cell>
          <cell r="D21" t="str">
            <v xml:space="preserve">ipadmin1@bufetemejia.com </v>
          </cell>
        </row>
        <row r="22">
          <cell r="A22" t="str">
            <v>HT</v>
          </cell>
          <cell r="B22" t="str">
            <v>CABINET SALES</v>
          </cell>
          <cell r="C22" t="str">
            <v>Haiti</v>
          </cell>
          <cell r="D22" t="str">
            <v>trademarks@cabinetsales.com; spaul@cabinetsales.com</v>
          </cell>
        </row>
        <row r="23">
          <cell r="A23" t="str">
            <v>IN</v>
          </cell>
          <cell r="B23" t="str">
            <v>DE PENNING</v>
          </cell>
          <cell r="C23" t="str">
            <v>India</v>
          </cell>
          <cell r="D23" t="str">
            <v>Paramita.Nandy@depenning.com; Ruchi.Singh@depenning.com</v>
          </cell>
        </row>
        <row r="24">
          <cell r="A24" t="str">
            <v>JE</v>
          </cell>
          <cell r="B24" t="str">
            <v>MATHYS &amp; SQUIRE (Manchester)</v>
          </cell>
          <cell r="C24" t="str">
            <v>Jersey</v>
          </cell>
          <cell r="D24" t="str">
            <v>Rebecca Tew &lt;RLTew@mathys-squire.com&gt;; Sue Wycherley &lt;SWycherley@mathys-squire.com&gt;; Lucy Dayson &lt;LDayson@mathys-squire.com&gt;</v>
          </cell>
        </row>
        <row r="25">
          <cell r="A25" t="str">
            <v>JP</v>
          </cell>
          <cell r="B25" t="str">
            <v>R&amp;C</v>
          </cell>
          <cell r="C25" t="str">
            <v>Japan</v>
          </cell>
          <cell r="D25" t="str">
            <v>'Seiji OTA' &lt;seiji.ota@rc-iplaw.com&gt;; trademark@rc-iplaw.com; 'Sonoko ARAKI' &lt;sonoko.araki@rc-iplaw.com&gt;</v>
          </cell>
        </row>
        <row r="26">
          <cell r="A26" t="str">
            <v>KN</v>
          </cell>
          <cell r="B26" t="str">
            <v>Kelsick, Wilkin &amp; Ferdi</v>
          </cell>
          <cell r="C26" t="str">
            <v>Saint Kitts &amp; Nevis</v>
          </cell>
          <cell r="D26" t="str">
            <v>IP Department &lt;ipdesk@kwfonline.com&gt;</v>
          </cell>
        </row>
        <row r="27">
          <cell r="A27" t="str">
            <v>KY</v>
          </cell>
          <cell r="B27" t="str">
            <v>HSM IP Ltd. (구: APPLEBY)</v>
          </cell>
          <cell r="C27" t="str">
            <v>Cayman Islands</v>
          </cell>
          <cell r="D27" t="str">
            <v>kcleary@hsmoffice.com</v>
          </cell>
        </row>
        <row r="28">
          <cell r="A28" t="str">
            <v>LK</v>
          </cell>
          <cell r="B28" t="str">
            <v>Nithi Murugesu &amp; Associates</v>
          </cell>
          <cell r="C28" t="str">
            <v>Sri Lanka</v>
          </cell>
          <cell r="D28" t="str">
            <v>Trademark M&amp;A Law &lt;tm@nithimurugesu.com&gt;</v>
          </cell>
        </row>
        <row r="29">
          <cell r="A29" t="str">
            <v>MS</v>
          </cell>
          <cell r="B29" t="str">
            <v>MATHYS &amp; SQUIRE LLP (London)</v>
          </cell>
          <cell r="C29" t="str">
            <v>Monserrat</v>
          </cell>
          <cell r="D29" t="str">
            <v>Rebecca Tew &lt;RLTew@mathys-squire.com&gt;</v>
          </cell>
        </row>
        <row r="30">
          <cell r="A30" t="str">
            <v>MT</v>
          </cell>
          <cell r="B30" t="str">
            <v>Bezzina &amp; Mifsud Patent Bureau</v>
          </cell>
          <cell r="C30" t="str">
            <v>Malta</v>
          </cell>
          <cell r="D30" t="str">
            <v>Bezzina &amp; Mifsud Patentbureau &lt;info@bezmif.com&gt;</v>
          </cell>
        </row>
        <row r="31">
          <cell r="A31" t="str">
            <v>MV</v>
          </cell>
          <cell r="B31" t="str">
            <v>Hilborne, Hawkin &amp; Co.</v>
          </cell>
          <cell r="C31" t="str">
            <v>Maldives</v>
          </cell>
          <cell r="D31" t="str">
            <v>ukhan@hilbornehawkin.com; Info@hilbornehawkin.com</v>
          </cell>
        </row>
        <row r="32">
          <cell r="A32" t="str">
            <v>NI</v>
          </cell>
          <cell r="B32" t="str">
            <v>Guy Jose Bendana-Guerrero &amp; Asociados</v>
          </cell>
          <cell r="C32" t="str">
            <v>Nicaragua</v>
          </cell>
          <cell r="D32" t="str">
            <v>info guybendana.com.ni &lt;info@guybendana.com.ni&gt;; ipprosecution guybendana.com.ni &lt;ipprosecution@guybendana.com.ni&gt;; attorney guybendana.com.ni &lt;attorney@guybendana.com.ni&gt;</v>
          </cell>
        </row>
        <row r="33">
          <cell r="A33" t="str">
            <v>NP</v>
          </cell>
          <cell r="B33" t="str">
            <v>LexOrbis Intellectual Property Practice</v>
          </cell>
          <cell r="C33" t="str">
            <v>Nepal</v>
          </cell>
          <cell r="D33" t="str">
            <v>Abhai Pandey | LexOrbis &lt;Abhai@lexorbis.com&gt;</v>
          </cell>
        </row>
        <row r="34">
          <cell r="A34" t="str">
            <v>PA</v>
          </cell>
          <cell r="B34" t="str">
            <v>Morgan &amp; Morgan Attorneys at Law</v>
          </cell>
          <cell r="C34" t="str">
            <v>Panama</v>
          </cell>
          <cell r="D34" t="str">
            <v>Emily Escartin &lt;emily.escartin@morimor.com&gt;</v>
          </cell>
        </row>
        <row r="35">
          <cell r="A35" t="str">
            <v>PE</v>
          </cell>
          <cell r="B35" t="str">
            <v>allende &amp; garcia</v>
          </cell>
          <cell r="C35" t="str">
            <v>Peru</v>
          </cell>
          <cell r="D35" t="str">
            <v>jorge@allendegarcia.com.pe</v>
          </cell>
        </row>
        <row r="36">
          <cell r="A36" t="str">
            <v>PE</v>
          </cell>
          <cell r="B36" t="str">
            <v>allende &amp; garcia</v>
          </cell>
        </row>
        <row r="37">
          <cell r="A37" t="str">
            <v>PU</v>
          </cell>
          <cell r="B37" t="str">
            <v>HSM IP Ltd. (구: APPLEBY)</v>
          </cell>
          <cell r="C37" t="str">
            <v>Puerto Rico</v>
          </cell>
          <cell r="D37" t="str">
            <v>kcleary@hsmoffice.com</v>
          </cell>
        </row>
        <row r="38">
          <cell r="A38" t="str">
            <v>TO</v>
          </cell>
          <cell r="B38" t="str">
            <v>Hilborne, Hawkin &amp; Co.</v>
          </cell>
          <cell r="C38" t="str">
            <v>Tonga</v>
          </cell>
          <cell r="D38" t="str">
            <v>ukhan@hilbornehawkin.com; Info@hilbornehawkin.com</v>
          </cell>
        </row>
        <row r="39">
          <cell r="A39" t="str">
            <v>US</v>
          </cell>
          <cell r="B39" t="str">
            <v>GREENBERG</v>
          </cell>
          <cell r="C39" t="str">
            <v>the United States</v>
          </cell>
          <cell r="D39" t="str">
            <v>SchlossD@gtlaw.com; kimc@gtlaw.com; EDLINR@gtlaw.com; JongIn.Son@gtlaw.com; SchlossD@gtlaw.com</v>
          </cell>
        </row>
        <row r="40">
          <cell r="A40" t="str">
            <v>UY</v>
          </cell>
          <cell r="B40" t="str">
            <v>CIKATO</v>
          </cell>
          <cell r="C40" t="str">
            <v>Uruguay</v>
          </cell>
          <cell r="D40" t="str">
            <v>matias.cikato@cikato.com.uy</v>
          </cell>
        </row>
        <row r="41">
          <cell r="A41" t="str">
            <v>VE</v>
          </cell>
          <cell r="B41" t="str">
            <v>Montoya, Kociecki &amp; Asociados(VE)</v>
          </cell>
          <cell r="C41" t="str">
            <v>Venezuela</v>
          </cell>
          <cell r="D41" t="str">
            <v>Montoya, Kociecki &amp; Asociados Exterior &lt;exterior@mkmarcas.com&gt;</v>
          </cell>
        </row>
        <row r="42">
          <cell r="A42" t="str">
            <v>AO</v>
          </cell>
          <cell r="B42" t="str">
            <v>VON</v>
          </cell>
          <cell r="C42" t="str">
            <v>Angola</v>
          </cell>
          <cell r="D42" t="str">
            <v>Claire Smedley &lt;csmedley@vonseidels.com&gt;; Chandré Arendse &lt;cbarendse@vonseidels.com&gt;; Pearlen Oliver &lt;poliver@vonseidels.com&gt;</v>
          </cell>
        </row>
        <row r="43">
          <cell r="A43" t="str">
            <v>BW</v>
          </cell>
          <cell r="B43" t="str">
            <v>ENSAfrica</v>
          </cell>
          <cell r="C43" t="str">
            <v>Botswana</v>
          </cell>
          <cell r="D43" t="str">
            <v>info@ensafrica.com; rforster@ensafrica.com</v>
          </cell>
        </row>
        <row r="44">
          <cell r="A44" t="str">
            <v>CD</v>
          </cell>
          <cell r="B44" t="str">
            <v>VON</v>
          </cell>
          <cell r="C44" t="str">
            <v>Democratic Republic of the Congo (Zaire)</v>
          </cell>
          <cell r="D44" t="str">
            <v>'Claire Smedley' &lt;csmedley@vonseidels.com&gt;; 'Chandré Arendse' &lt;cbarendse@vonseidels.com&gt;; poliver@vonseidels.com</v>
          </cell>
        </row>
        <row r="45">
          <cell r="A45" t="str">
            <v>CO</v>
          </cell>
          <cell r="B45" t="str">
            <v>CASTELLANOS &amp; Co.</v>
          </cell>
          <cell r="C45" t="str">
            <v>Colombia</v>
          </cell>
          <cell r="D45" t="str">
            <v>CASTELLANOS &amp; Co. &lt;castellanos@castellanosyco.co&gt;</v>
          </cell>
        </row>
        <row r="46">
          <cell r="A46" t="str">
            <v>DJ</v>
          </cell>
          <cell r="B46" t="str">
            <v>VON</v>
          </cell>
          <cell r="C46" t="str">
            <v>Djibouti</v>
          </cell>
          <cell r="D46" t="str">
            <v>'Claire Smedley' &lt;csmedley@vonseidels.com&gt;; 'Chandré Arendse' &lt;cbarendse@vonseidels.com&gt;; poliver@vonseidels.com</v>
          </cell>
        </row>
        <row r="47">
          <cell r="A47" t="str">
            <v>ET</v>
          </cell>
          <cell r="B47" t="str">
            <v>VON</v>
          </cell>
          <cell r="C47" t="str">
            <v>Ethiopia</v>
          </cell>
          <cell r="D47" t="str">
            <v>'Claire Smedley' &lt;csmedley@vonseidels.com&gt;; 'Chandré Arendse' &lt;cbarendse@vonseidels.com&gt;; poliver@vonseidels.com</v>
          </cell>
        </row>
        <row r="48">
          <cell r="A48" t="str">
            <v>GH</v>
          </cell>
          <cell r="B48" t="str">
            <v>VON</v>
          </cell>
          <cell r="C48" t="str">
            <v>Ghana</v>
          </cell>
          <cell r="D48" t="str">
            <v>'Claire Smedley' &lt;csmedley@vonseidels.com&gt;; 'Chandré Arendse' &lt;cbarendse@vonseidels.com&gt;; poliver@vonseidels.com</v>
          </cell>
        </row>
        <row r="49">
          <cell r="A49" t="str">
            <v>GM</v>
          </cell>
          <cell r="B49" t="str">
            <v>VON</v>
          </cell>
          <cell r="C49" t="str">
            <v>Gambia</v>
          </cell>
          <cell r="D49" t="str">
            <v>'Claire Smedley' &lt;csmedley@vonseidels.com&gt;; 'Chandré Arendse' &lt;cbarendse@vonseidels.com&gt;; poliver@vonseidels.com</v>
          </cell>
        </row>
        <row r="50">
          <cell r="A50" t="str">
            <v>KE</v>
          </cell>
          <cell r="B50" t="str">
            <v>VON</v>
          </cell>
          <cell r="C50" t="str">
            <v>Kenya</v>
          </cell>
          <cell r="D50" t="str">
            <v>'Claire Smedley' &lt;csmedley@vonseidels.com&gt;; 'Chandré Arendse' &lt;cbarendse@vonseidels.com&gt;; poliver@vonseidels.com</v>
          </cell>
        </row>
        <row r="51">
          <cell r="A51" t="str">
            <v>LR</v>
          </cell>
          <cell r="B51" t="str">
            <v>VON</v>
          </cell>
          <cell r="C51" t="str">
            <v>Liberia</v>
          </cell>
          <cell r="D51" t="str">
            <v>'Claire Smedley' &lt;csmedley@vonseidels.com&gt;; 'Chandré Arendse' &lt;cbarendse@vonseidels.com&gt;; poliver@vonseidels.com</v>
          </cell>
        </row>
        <row r="52">
          <cell r="A52" t="str">
            <v>MG</v>
          </cell>
          <cell r="B52" t="str">
            <v>ENSAfrica</v>
          </cell>
          <cell r="C52" t="str">
            <v>Madagascar</v>
          </cell>
          <cell r="D52" t="str">
            <v>info@ensafrica.com; rforster@ensafrica.com</v>
          </cell>
        </row>
        <row r="53">
          <cell r="A53" t="str">
            <v>MI</v>
          </cell>
          <cell r="B53" t="str">
            <v>Tilleke (미얀마)</v>
          </cell>
          <cell r="C53" t="str">
            <v>Myanmar (Burma)</v>
          </cell>
          <cell r="D53" t="str">
            <v>Khin Myo Myo Aye &lt;khinmyomyoaye@tilleke.com&gt;; mm.docketing@tilleke.com</v>
          </cell>
        </row>
        <row r="54">
          <cell r="A54" t="str">
            <v>MU</v>
          </cell>
          <cell r="B54" t="str">
            <v>ENSAfrica</v>
          </cell>
          <cell r="C54" t="str">
            <v>Mauritius</v>
          </cell>
          <cell r="D54" t="str">
            <v>info@ensafrica.com; rforster@ensafrica.com</v>
          </cell>
        </row>
        <row r="55">
          <cell r="A55" t="str">
            <v>MW</v>
          </cell>
          <cell r="B55" t="str">
            <v>ENSAfrica</v>
          </cell>
          <cell r="C55" t="str">
            <v>Malawi</v>
          </cell>
          <cell r="D55" t="str">
            <v>info@ensafrica.com; rforster@ensafrica.com</v>
          </cell>
        </row>
        <row r="56">
          <cell r="A56" t="str">
            <v>MZ</v>
          </cell>
          <cell r="B56" t="str">
            <v>ENSAfrica</v>
          </cell>
          <cell r="C56" t="str">
            <v>Mozambique</v>
          </cell>
          <cell r="D56" t="str">
            <v>info@ensafrica.com; rforster@ensafrica.com</v>
          </cell>
        </row>
        <row r="57">
          <cell r="A57" t="str">
            <v>NA</v>
          </cell>
          <cell r="B57" t="str">
            <v>ENSAfrica</v>
          </cell>
          <cell r="C57" t="str">
            <v>Namibia</v>
          </cell>
          <cell r="D57" t="str">
            <v>info@ensafrica.com; rforster@ensafrica.com</v>
          </cell>
        </row>
        <row r="58">
          <cell r="A58" t="str">
            <v>NG</v>
          </cell>
          <cell r="B58" t="str">
            <v>VON</v>
          </cell>
          <cell r="C58" t="str">
            <v>Nigeria</v>
          </cell>
          <cell r="D58" t="str">
            <v>'Claire Smedley' &lt;csmedley@vonseidels.com&gt;; 'Chandré Arendse' &lt;cbarendse@vonseidels.com&gt;; poliver@vonseidels.com</v>
          </cell>
        </row>
        <row r="59">
          <cell r="A59" t="str">
            <v>OA</v>
          </cell>
          <cell r="B59" t="str">
            <v>VON</v>
          </cell>
          <cell r="C59" t="str">
            <v>OAPI (African Intellectual Property Organization)</v>
          </cell>
          <cell r="D59" t="str">
            <v>'Claire Smedley' &lt;csmedley@vonseidels.com&gt;; 'Chandré Arendse' &lt;cbarendse@vonseidels.com&gt;; poliver@vonseidels.com</v>
          </cell>
        </row>
        <row r="60">
          <cell r="A60" t="str">
            <v>SD</v>
          </cell>
          <cell r="B60" t="str">
            <v>VON</v>
          </cell>
          <cell r="C60" t="str">
            <v>Sudan</v>
          </cell>
          <cell r="D60" t="str">
            <v>'Claire Smedley' &lt;csmedley@vonseidels.com&gt;; 'Chandré Arendse' &lt;cbarendse@vonseidels.com&gt;; poliver@vonseidels.com</v>
          </cell>
        </row>
        <row r="61">
          <cell r="A61" t="str">
            <v>SO</v>
          </cell>
          <cell r="B61" t="str">
            <v>VON</v>
          </cell>
          <cell r="C61" t="str">
            <v>Somalia</v>
          </cell>
          <cell r="D61" t="str">
            <v>'Claire Smedley' &lt;csmedley@vonseidels.com&gt;; 'Chandré Arendse' &lt;cbarendse@vonseidels.com&gt;; poliver@vonseidels.com</v>
          </cell>
        </row>
        <row r="62">
          <cell r="A62" t="str">
            <v>TZ</v>
          </cell>
          <cell r="B62" t="str">
            <v>VON</v>
          </cell>
          <cell r="C62" t="str">
            <v>Tanzania (Tanganyika)</v>
          </cell>
          <cell r="D62" t="str">
            <v>'Claire Smedley' &lt;csmedley@vonseidels.com&gt;; 'Chandré Arendse' &lt;cbarendse@vonseidels.com&gt;; poliver@vonseidels.com</v>
          </cell>
        </row>
        <row r="63">
          <cell r="A63" t="str">
            <v>UG</v>
          </cell>
          <cell r="B63" t="str">
            <v>VON</v>
          </cell>
          <cell r="C63" t="str">
            <v>Uganda</v>
          </cell>
          <cell r="D63" t="str">
            <v>'Claire Smedley' &lt;csmedley@vonseidels.com&gt;; 'Chandré Arendse' &lt;cbarendse@vonseidels.com&gt;; poliver@vonseidels.com</v>
          </cell>
        </row>
        <row r="64">
          <cell r="A64" t="str">
            <v>VN</v>
          </cell>
          <cell r="B64" t="str">
            <v>Vision</v>
          </cell>
          <cell r="C64" t="str">
            <v>Vietnam</v>
          </cell>
          <cell r="D64" t="str">
            <v>Nguyen Thuy Hong' &lt;nt.hong@vision-associates.com&gt;; 'Nguyen Thi Thu Ha' &lt;ntt.ha1@vision-associates.com&gt;</v>
          </cell>
        </row>
        <row r="65">
          <cell r="A65" t="str">
            <v>ZA</v>
          </cell>
          <cell r="B65" t="str">
            <v>VON</v>
          </cell>
          <cell r="C65" t="str">
            <v>South Africa</v>
          </cell>
          <cell r="D65" t="str">
            <v>'Claire Smedley' &lt;csmedley@vonseidels.com&gt;; 'Chandré Arendse' &lt;cbarendse@vonseidels.com&gt;; poliver@vonseidels.com</v>
          </cell>
        </row>
        <row r="66">
          <cell r="A66" t="str">
            <v>ZM</v>
          </cell>
          <cell r="B66" t="str">
            <v>ENSAfrica</v>
          </cell>
          <cell r="C66" t="str">
            <v>Zambia</v>
          </cell>
          <cell r="D66" t="str">
            <v>info@ensafrica.com; rforster@ensafrica.com</v>
          </cell>
        </row>
        <row r="67">
          <cell r="A67" t="str">
            <v>ZW</v>
          </cell>
          <cell r="B67" t="str">
            <v>ENSAfrica</v>
          </cell>
          <cell r="C67" t="str">
            <v>Zimbabwe</v>
          </cell>
          <cell r="D67" t="str">
            <v>info@ensafrica.com; rforster@ensafrica.com</v>
          </cell>
        </row>
        <row r="68">
          <cell r="A68" t="str">
            <v>ZZ</v>
          </cell>
          <cell r="B68" t="str">
            <v>VON</v>
          </cell>
          <cell r="C68" t="str">
            <v>Tanzania (Zanzibar)</v>
          </cell>
          <cell r="D68" t="str">
            <v>'Claire Smedley' &lt;csmedley@vonseidels.com&gt;; 'Chandré Arendse' &lt;cbarendse@vonseidels.com&gt;; poliver@vonseidels.com</v>
          </cell>
        </row>
        <row r="69">
          <cell r="A69" t="str">
            <v>PA</v>
          </cell>
          <cell r="B69" t="str">
            <v>CASTELLANOS &amp; Co.</v>
          </cell>
          <cell r="C69" t="str">
            <v>Panama</v>
          </cell>
          <cell r="D69" t="str">
            <v>Castellanos &amp; CO &lt;castellanos@castellanosyco.co&gt;</v>
          </cell>
        </row>
      </sheetData>
      <sheetData sheetId="1"/>
      <sheetData sheetId="2">
        <row r="2">
          <cell r="A2" t="str">
            <v>AO</v>
          </cell>
          <cell r="B2" t="str">
            <v>VON</v>
          </cell>
        </row>
        <row r="3">
          <cell r="A3" t="str">
            <v>BW</v>
          </cell>
          <cell r="B3" t="str">
            <v>ENSAfrica</v>
          </cell>
        </row>
        <row r="4">
          <cell r="A4" t="str">
            <v>CD</v>
          </cell>
          <cell r="B4" t="str">
            <v>VON</v>
          </cell>
        </row>
        <row r="5">
          <cell r="A5" t="str">
            <v>CO</v>
          </cell>
          <cell r="B5" t="str">
            <v>CASTELLANOS &amp; Co.</v>
          </cell>
        </row>
        <row r="6">
          <cell r="A6" t="str">
            <v>DJ</v>
          </cell>
          <cell r="B6" t="str">
            <v>VON</v>
          </cell>
        </row>
        <row r="7">
          <cell r="A7" t="str">
            <v>DO</v>
          </cell>
          <cell r="B7" t="str">
            <v>Castillo y Castillo</v>
          </cell>
        </row>
        <row r="8">
          <cell r="A8" t="str">
            <v>ET</v>
          </cell>
          <cell r="B8" t="str">
            <v>VON</v>
          </cell>
        </row>
        <row r="9">
          <cell r="A9" t="str">
            <v>GH</v>
          </cell>
          <cell r="B9" t="str">
            <v>VON</v>
          </cell>
        </row>
        <row r="10">
          <cell r="A10" t="str">
            <v>GM</v>
          </cell>
          <cell r="B10" t="str">
            <v>VON</v>
          </cell>
        </row>
        <row r="11">
          <cell r="A11" t="str">
            <v>KE</v>
          </cell>
          <cell r="B11" t="str">
            <v>VON</v>
          </cell>
        </row>
        <row r="12">
          <cell r="A12" t="str">
            <v>LR</v>
          </cell>
          <cell r="B12" t="str">
            <v>VON</v>
          </cell>
        </row>
        <row r="13">
          <cell r="A13" t="str">
            <v>MG</v>
          </cell>
          <cell r="B13" t="str">
            <v>ENSAfrica</v>
          </cell>
        </row>
        <row r="14">
          <cell r="A14" t="str">
            <v>MI</v>
          </cell>
          <cell r="B14" t="str">
            <v>Tilleke (미얀마)</v>
          </cell>
        </row>
        <row r="15">
          <cell r="A15" t="str">
            <v>MU</v>
          </cell>
          <cell r="B15" t="str">
            <v>ENSAfrica</v>
          </cell>
        </row>
        <row r="16">
          <cell r="A16" t="str">
            <v>MW</v>
          </cell>
          <cell r="B16" t="str">
            <v>ENSAfrica</v>
          </cell>
        </row>
        <row r="17">
          <cell r="A17" t="str">
            <v>MZ</v>
          </cell>
          <cell r="B17" t="str">
            <v>ENSAfrica</v>
          </cell>
        </row>
        <row r="18">
          <cell r="A18" t="str">
            <v>NA</v>
          </cell>
          <cell r="B18" t="str">
            <v>ENSAfrica</v>
          </cell>
        </row>
        <row r="19">
          <cell r="A19" t="str">
            <v>NG</v>
          </cell>
          <cell r="B19" t="str">
            <v>VON</v>
          </cell>
        </row>
        <row r="20">
          <cell r="A20" t="str">
            <v>NI</v>
          </cell>
          <cell r="B20" t="str">
            <v>Guy Jose Bendana-Guerrero &amp; Asociados</v>
          </cell>
        </row>
        <row r="21">
          <cell r="A21" t="str">
            <v>OA</v>
          </cell>
          <cell r="B21" t="str">
            <v>VON</v>
          </cell>
        </row>
        <row r="22">
          <cell r="A22" t="str">
            <v>PA</v>
          </cell>
          <cell r="B22" t="str">
            <v>CASTELLANOS &amp; Co.</v>
          </cell>
        </row>
        <row r="23">
          <cell r="A23" t="str">
            <v>SD</v>
          </cell>
          <cell r="B23" t="str">
            <v>VON</v>
          </cell>
        </row>
        <row r="24">
          <cell r="A24" t="str">
            <v>SO</v>
          </cell>
          <cell r="B24" t="str">
            <v>VON</v>
          </cell>
        </row>
        <row r="25">
          <cell r="A25" t="str">
            <v>TZ</v>
          </cell>
          <cell r="B25" t="str">
            <v>VON</v>
          </cell>
        </row>
        <row r="26">
          <cell r="A26" t="str">
            <v>UG</v>
          </cell>
          <cell r="B26" t="str">
            <v>VON</v>
          </cell>
        </row>
        <row r="27">
          <cell r="A27" t="str">
            <v>VN</v>
          </cell>
          <cell r="B27" t="str">
            <v>Vision</v>
          </cell>
        </row>
        <row r="28">
          <cell r="A28" t="str">
            <v>ZA</v>
          </cell>
          <cell r="B28" t="str">
            <v>VON</v>
          </cell>
        </row>
        <row r="29">
          <cell r="A29" t="str">
            <v>ZM</v>
          </cell>
          <cell r="B29" t="str">
            <v>ENSAfrica</v>
          </cell>
        </row>
        <row r="30">
          <cell r="A30" t="str">
            <v>ZW</v>
          </cell>
          <cell r="B30" t="str">
            <v>ENSAfrica</v>
          </cell>
        </row>
        <row r="31">
          <cell r="A31" t="str">
            <v>ZZ</v>
          </cell>
          <cell r="B31" t="str">
            <v>VON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0DCD-9E4A-455B-B013-28FD600B1BA9}">
  <dimension ref="A1:J141"/>
  <sheetViews>
    <sheetView tabSelected="1" topLeftCell="A35" workbookViewId="0">
      <selection activeCell="L43" sqref="L43"/>
    </sheetView>
  </sheetViews>
  <sheetFormatPr defaultRowHeight="12.75"/>
  <cols>
    <col min="1" max="1" width="16" customWidth="1"/>
    <col min="2" max="2" width="21.42578125" customWidth="1"/>
    <col min="3" max="3" width="6.140625" bestFit="1" customWidth="1"/>
    <col min="4" max="7" width="23.7109375" customWidth="1"/>
  </cols>
  <sheetData>
    <row r="1" spans="1:10" ht="13.5">
      <c r="A1" s="4" t="s">
        <v>278</v>
      </c>
      <c r="B1" s="4" t="s">
        <v>279</v>
      </c>
      <c r="C1" s="4" t="s">
        <v>280</v>
      </c>
      <c r="D1" s="4" t="s">
        <v>281</v>
      </c>
      <c r="E1" s="4" t="s">
        <v>282</v>
      </c>
      <c r="F1" s="4" t="s">
        <v>283</v>
      </c>
      <c r="G1" s="4" t="s">
        <v>284</v>
      </c>
      <c r="H1" s="5" t="s">
        <v>293</v>
      </c>
      <c r="I1" s="6" t="s">
        <v>294</v>
      </c>
      <c r="J1" s="6" t="s">
        <v>295</v>
      </c>
    </row>
    <row r="2" spans="1:10" ht="13.5">
      <c r="A2" s="1" t="s">
        <v>269</v>
      </c>
      <c r="B2" s="1" t="s">
        <v>6</v>
      </c>
      <c r="C2" s="1" t="s">
        <v>140</v>
      </c>
      <c r="D2" s="2">
        <v>45821</v>
      </c>
      <c r="E2" s="1" t="s">
        <v>277</v>
      </c>
      <c r="F2" s="1"/>
      <c r="G2" s="1" t="s">
        <v>29</v>
      </c>
      <c r="H2" t="str">
        <f>VLOOKUP($A2,Sheet1!$A$1:$E$31, 3, FALSE)</f>
        <v>'Claire Smedley' &lt;csmedley@vonseidels.com&gt;; 'Chandré Arendse' &lt;cbarendse@vonseidels.com&gt;; poliver@vonseidels.com</v>
      </c>
      <c r="I2" s="17" t="s">
        <v>341</v>
      </c>
      <c r="J2" t="str">
        <f>VLOOKUP($A2,Sheet1!$A$1:$E$31, 5, FALSE)</f>
        <v>OAPI (African Intellectual Property Organization)</v>
      </c>
    </row>
    <row r="3" spans="1:10" ht="13.5">
      <c r="A3" s="1" t="s">
        <v>269</v>
      </c>
      <c r="B3" s="1" t="s">
        <v>6</v>
      </c>
      <c r="C3" s="1" t="s">
        <v>1</v>
      </c>
      <c r="D3" s="2">
        <v>40931</v>
      </c>
      <c r="E3" s="1" t="s">
        <v>276</v>
      </c>
      <c r="F3" s="2">
        <v>40931</v>
      </c>
      <c r="G3" s="1" t="s">
        <v>275</v>
      </c>
      <c r="H3" t="str">
        <f>VLOOKUP($A3,Sheet1!$A$1:$E$31, 3, FALSE)</f>
        <v>'Claire Smedley' &lt;csmedley@vonseidels.com&gt;; 'Chandré Arendse' &lt;cbarendse@vonseidels.com&gt;; poliver@vonseidels.com</v>
      </c>
      <c r="I3" s="17" t="s">
        <v>342</v>
      </c>
      <c r="J3" t="str">
        <f>VLOOKUP($A3,Sheet1!$A$1:$E$31, 5, FALSE)</f>
        <v>OAPI (African Intellectual Property Organization)</v>
      </c>
    </row>
    <row r="4" spans="1:10" ht="13.5">
      <c r="A4" s="1" t="s">
        <v>269</v>
      </c>
      <c r="B4" s="1" t="s">
        <v>285</v>
      </c>
      <c r="C4" s="1" t="s">
        <v>1</v>
      </c>
      <c r="D4" s="2">
        <v>43922</v>
      </c>
      <c r="E4" s="1" t="s">
        <v>274</v>
      </c>
      <c r="F4" s="2">
        <v>43922</v>
      </c>
      <c r="G4" s="1" t="s">
        <v>273</v>
      </c>
      <c r="H4" t="str">
        <f>VLOOKUP($A4,Sheet1!$A$1:$E$31, 3, FALSE)</f>
        <v>'Claire Smedley' &lt;csmedley@vonseidels.com&gt;; 'Chandré Arendse' &lt;cbarendse@vonseidels.com&gt;; poliver@vonseidels.com</v>
      </c>
      <c r="I4" s="17" t="s">
        <v>343</v>
      </c>
      <c r="J4" t="str">
        <f>VLOOKUP($A4,Sheet1!$A$1:$E$31, 5, FALSE)</f>
        <v>OAPI (African Intellectual Property Organization)</v>
      </c>
    </row>
    <row r="5" spans="1:10" ht="13.5">
      <c r="A5" s="1" t="s">
        <v>269</v>
      </c>
      <c r="B5" s="1" t="s">
        <v>286</v>
      </c>
      <c r="C5" s="1" t="s">
        <v>1</v>
      </c>
      <c r="D5" s="2">
        <v>43922</v>
      </c>
      <c r="E5" s="1" t="s">
        <v>272</v>
      </c>
      <c r="F5" s="2">
        <v>43922</v>
      </c>
      <c r="G5" s="1" t="s">
        <v>271</v>
      </c>
      <c r="H5" t="str">
        <f>VLOOKUP($A5,Sheet1!$A$1:$E$31, 3, FALSE)</f>
        <v>'Claire Smedley' &lt;csmedley@vonseidels.com&gt;; 'Chandré Arendse' &lt;cbarendse@vonseidels.com&gt;; poliver@vonseidels.com</v>
      </c>
      <c r="I5" s="17" t="s">
        <v>344</v>
      </c>
      <c r="J5" t="str">
        <f>VLOOKUP($A5,Sheet1!$A$1:$E$31, 5, FALSE)</f>
        <v>OAPI (African Intellectual Property Organization)</v>
      </c>
    </row>
    <row r="6" spans="1:10" ht="13.5">
      <c r="A6" s="1" t="s">
        <v>269</v>
      </c>
      <c r="B6" s="1" t="s">
        <v>33</v>
      </c>
      <c r="C6" s="1" t="s">
        <v>1</v>
      </c>
      <c r="D6" s="2">
        <v>43483</v>
      </c>
      <c r="E6" s="1" t="s">
        <v>270</v>
      </c>
      <c r="F6" s="2">
        <v>43570</v>
      </c>
      <c r="G6" s="1" t="s">
        <v>270</v>
      </c>
      <c r="H6" t="str">
        <f>VLOOKUP($A6,Sheet1!$A$1:$E$31, 3, FALSE)</f>
        <v>'Claire Smedley' &lt;csmedley@vonseidels.com&gt;; 'Chandré Arendse' &lt;cbarendse@vonseidels.com&gt;; poliver@vonseidels.com</v>
      </c>
      <c r="I6" s="17" t="s">
        <v>345</v>
      </c>
      <c r="J6" t="str">
        <f>VLOOKUP($A6,Sheet1!$A$1:$E$31, 5, FALSE)</f>
        <v>OAPI (African Intellectual Property Organization)</v>
      </c>
    </row>
    <row r="7" spans="1:10" ht="13.5">
      <c r="A7" s="1" t="s">
        <v>269</v>
      </c>
      <c r="B7" s="1" t="s">
        <v>18</v>
      </c>
      <c r="C7" s="1" t="s">
        <v>1</v>
      </c>
      <c r="D7" s="2">
        <v>42116</v>
      </c>
      <c r="E7" s="1" t="s">
        <v>268</v>
      </c>
      <c r="F7" s="2">
        <v>42116</v>
      </c>
      <c r="G7" s="1" t="s">
        <v>267</v>
      </c>
      <c r="H7" t="str">
        <f>VLOOKUP($A7,Sheet1!$A$1:$E$31, 3, FALSE)</f>
        <v>'Claire Smedley' &lt;csmedley@vonseidels.com&gt;; 'Chandré Arendse' &lt;cbarendse@vonseidels.com&gt;; poliver@vonseidels.com</v>
      </c>
      <c r="I7" s="17" t="s">
        <v>346</v>
      </c>
      <c r="J7" t="str">
        <f>VLOOKUP($A7,Sheet1!$A$1:$E$31, 5, FALSE)</f>
        <v>OAPI (African Intellectual Property Organization)</v>
      </c>
    </row>
    <row r="8" spans="1:10" ht="13.5">
      <c r="A8" s="1" t="s">
        <v>266</v>
      </c>
      <c r="B8" s="1" t="s">
        <v>18</v>
      </c>
      <c r="C8" s="1" t="s">
        <v>1</v>
      </c>
      <c r="D8" s="2">
        <v>43248</v>
      </c>
      <c r="E8" s="1" t="s">
        <v>265</v>
      </c>
      <c r="F8" s="2">
        <v>44061</v>
      </c>
      <c r="G8" s="1" t="s">
        <v>264</v>
      </c>
      <c r="H8" t="str">
        <f>VLOOKUP($A8,Sheet1!$A$1:$E$31, 3, FALSE)</f>
        <v>'Claire Smedley' &lt;csmedley@vonseidels.com&gt;; 'Chandré Arendse' &lt;cbarendse@vonseidels.com&gt;; poliver@vonseidels.com</v>
      </c>
      <c r="I8" s="17" t="s">
        <v>347</v>
      </c>
      <c r="J8" t="str">
        <f>VLOOKUP($A8,Sheet1!$A$1:$E$31, 5, FALSE)</f>
        <v>Ghana</v>
      </c>
    </row>
    <row r="9" spans="1:10" ht="13.5">
      <c r="A9" s="1" t="s">
        <v>263</v>
      </c>
      <c r="B9" s="1" t="s">
        <v>18</v>
      </c>
      <c r="C9" s="1" t="s">
        <v>1</v>
      </c>
      <c r="D9" s="2">
        <v>43223</v>
      </c>
      <c r="E9" s="1" t="s">
        <v>262</v>
      </c>
      <c r="F9" s="2">
        <v>44238</v>
      </c>
      <c r="G9" s="1" t="s">
        <v>262</v>
      </c>
      <c r="H9" t="str">
        <f>VLOOKUP($A9,Sheet1!$A$1:$E$31, 3, FALSE)</f>
        <v>'Claire Smedley' &lt;csmedley@vonseidels.com&gt;; 'Chandré Arendse' &lt;cbarendse@vonseidels.com&gt;; poliver@vonseidels.com</v>
      </c>
      <c r="I9" s="17" t="s">
        <v>348</v>
      </c>
      <c r="J9" t="str">
        <f>VLOOKUP($A9,Sheet1!$A$1:$E$31, 5, FALSE)</f>
        <v>Gambia</v>
      </c>
    </row>
    <row r="10" spans="1:10" ht="13.5">
      <c r="A10" s="1" t="s">
        <v>259</v>
      </c>
      <c r="B10" s="1" t="s">
        <v>18</v>
      </c>
      <c r="C10" s="1" t="s">
        <v>50</v>
      </c>
      <c r="D10" s="2">
        <v>44942</v>
      </c>
      <c r="E10" s="1" t="s">
        <v>261</v>
      </c>
      <c r="F10" s="2">
        <v>45114</v>
      </c>
      <c r="G10" s="1" t="s">
        <v>261</v>
      </c>
      <c r="H10" t="str">
        <f>VLOOKUP($A10,Sheet1!$A$1:$E$31, 3, FALSE)</f>
        <v>info@ensafrica.com; rforster@ensafrica.com</v>
      </c>
      <c r="I10" s="17" t="s">
        <v>349</v>
      </c>
      <c r="J10" t="str">
        <f>VLOOKUP($A10,Sheet1!$A$1:$E$31, 5, FALSE)</f>
        <v>Namibia</v>
      </c>
    </row>
    <row r="11" spans="1:10" ht="13.5">
      <c r="A11" s="1" t="s">
        <v>259</v>
      </c>
      <c r="B11" s="1" t="s">
        <v>8</v>
      </c>
      <c r="C11" s="1" t="s">
        <v>50</v>
      </c>
      <c r="D11" s="2">
        <v>44942</v>
      </c>
      <c r="E11" s="1" t="s">
        <v>260</v>
      </c>
      <c r="F11" s="2">
        <v>45246</v>
      </c>
      <c r="G11" s="1" t="s">
        <v>260</v>
      </c>
      <c r="H11" t="str">
        <f>VLOOKUP($A11,Sheet1!$A$1:$E$31, 3, FALSE)</f>
        <v>info@ensafrica.com; rforster@ensafrica.com</v>
      </c>
      <c r="I11" s="17" t="s">
        <v>350</v>
      </c>
      <c r="J11" t="str">
        <f>VLOOKUP($A11,Sheet1!$A$1:$E$31, 5, FALSE)</f>
        <v>Namibia</v>
      </c>
    </row>
    <row r="12" spans="1:10" ht="13.5">
      <c r="A12" s="1" t="s">
        <v>259</v>
      </c>
      <c r="B12" s="1" t="s">
        <v>59</v>
      </c>
      <c r="C12" s="1" t="s">
        <v>50</v>
      </c>
      <c r="D12" s="2">
        <v>44942</v>
      </c>
      <c r="E12" s="1" t="s">
        <v>258</v>
      </c>
      <c r="F12" s="2">
        <v>45246</v>
      </c>
      <c r="G12" s="1" t="s">
        <v>258</v>
      </c>
      <c r="H12" t="str">
        <f>VLOOKUP($A12,Sheet1!$A$1:$E$31, 3, FALSE)</f>
        <v>info@ensafrica.com; rforster@ensafrica.com</v>
      </c>
      <c r="I12" s="17" t="s">
        <v>351</v>
      </c>
      <c r="J12" t="str">
        <f>VLOOKUP($A12,Sheet1!$A$1:$E$31, 5, FALSE)</f>
        <v>Namibia</v>
      </c>
    </row>
    <row r="13" spans="1:10" ht="13.5">
      <c r="A13" s="1" t="s">
        <v>242</v>
      </c>
      <c r="B13" s="1" t="s">
        <v>286</v>
      </c>
      <c r="C13" s="1" t="s">
        <v>1</v>
      </c>
      <c r="D13" s="2">
        <v>43924</v>
      </c>
      <c r="E13" s="1" t="s">
        <v>257</v>
      </c>
      <c r="F13" s="1"/>
      <c r="G13" s="1" t="s">
        <v>29</v>
      </c>
      <c r="H13" t="str">
        <f>VLOOKUP($A13,Sheet1!$A$1:$E$31, 3, FALSE)</f>
        <v>'Claire Smedley' &lt;csmedley@vonseidels.com&gt;; 'Chandré Arendse' &lt;cbarendse@vonseidels.com&gt;; poliver@vonseidels.com</v>
      </c>
      <c r="I13" s="17" t="s">
        <v>352</v>
      </c>
      <c r="J13" t="str">
        <f>VLOOKUP($A13,Sheet1!$A$1:$E$31, 5, FALSE)</f>
        <v>Nigeria</v>
      </c>
    </row>
    <row r="14" spans="1:10" ht="13.5">
      <c r="A14" s="1" t="s">
        <v>242</v>
      </c>
      <c r="B14" s="1" t="s">
        <v>285</v>
      </c>
      <c r="C14" s="1" t="s">
        <v>1</v>
      </c>
      <c r="D14" s="2">
        <v>43924</v>
      </c>
      <c r="E14" s="1" t="s">
        <v>256</v>
      </c>
      <c r="F14" s="1"/>
      <c r="G14" s="1" t="s">
        <v>29</v>
      </c>
      <c r="H14" t="str">
        <f>VLOOKUP($A14,Sheet1!$A$1:$E$31, 3, FALSE)</f>
        <v>'Claire Smedley' &lt;csmedley@vonseidels.com&gt;; 'Chandré Arendse' &lt;cbarendse@vonseidels.com&gt;; poliver@vonseidels.com</v>
      </c>
      <c r="I14" s="17" t="s">
        <v>353</v>
      </c>
      <c r="J14" t="str">
        <f>VLOOKUP($A14,Sheet1!$A$1:$E$31, 5, FALSE)</f>
        <v>Nigeria</v>
      </c>
    </row>
    <row r="15" spans="1:10" ht="13.5">
      <c r="A15" s="1" t="s">
        <v>242</v>
      </c>
      <c r="B15" s="1" t="s">
        <v>255</v>
      </c>
      <c r="C15" s="1" t="s">
        <v>1</v>
      </c>
      <c r="D15" s="2">
        <v>41138</v>
      </c>
      <c r="E15" s="1" t="s">
        <v>254</v>
      </c>
      <c r="F15" s="1"/>
      <c r="G15" s="1" t="s">
        <v>29</v>
      </c>
      <c r="H15" t="str">
        <f>VLOOKUP($A15,Sheet1!$A$1:$E$31, 3, FALSE)</f>
        <v>'Claire Smedley' &lt;csmedley@vonseidels.com&gt;; 'Chandré Arendse' &lt;cbarendse@vonseidels.com&gt;; poliver@vonseidels.com</v>
      </c>
      <c r="I15" s="17" t="s">
        <v>354</v>
      </c>
      <c r="J15" t="str">
        <f>VLOOKUP($A15,Sheet1!$A$1:$E$31, 5, FALSE)</f>
        <v>Nigeria</v>
      </c>
    </row>
    <row r="16" spans="1:10" ht="13.5">
      <c r="A16" s="1" t="s">
        <v>242</v>
      </c>
      <c r="B16" s="1" t="s">
        <v>253</v>
      </c>
      <c r="C16" s="1" t="s">
        <v>1</v>
      </c>
      <c r="D16" s="2">
        <v>41138</v>
      </c>
      <c r="E16" s="1" t="s">
        <v>252</v>
      </c>
      <c r="F16" s="1"/>
      <c r="G16" s="1" t="s">
        <v>29</v>
      </c>
      <c r="H16" t="str">
        <f>VLOOKUP($A16,Sheet1!$A$1:$E$31, 3, FALSE)</f>
        <v>'Claire Smedley' &lt;csmedley@vonseidels.com&gt;; 'Chandré Arendse' &lt;cbarendse@vonseidels.com&gt;; poliver@vonseidels.com</v>
      </c>
      <c r="I16" s="17" t="s">
        <v>355</v>
      </c>
      <c r="J16" t="str">
        <f>VLOOKUP($A16,Sheet1!$A$1:$E$31, 5, FALSE)</f>
        <v>Nigeria</v>
      </c>
    </row>
    <row r="17" spans="1:10" ht="13.5">
      <c r="A17" s="1" t="s">
        <v>242</v>
      </c>
      <c r="B17" s="1" t="s">
        <v>18</v>
      </c>
      <c r="C17" s="1" t="s">
        <v>1</v>
      </c>
      <c r="D17" s="2">
        <v>42111</v>
      </c>
      <c r="E17" s="1" t="s">
        <v>251</v>
      </c>
      <c r="F17" s="2">
        <v>44508</v>
      </c>
      <c r="G17" s="1" t="s">
        <v>250</v>
      </c>
      <c r="H17" t="str">
        <f>VLOOKUP($A17,Sheet1!$A$1:$E$31, 3, FALSE)</f>
        <v>'Claire Smedley' &lt;csmedley@vonseidels.com&gt;; 'Chandré Arendse' &lt;cbarendse@vonseidels.com&gt;; poliver@vonseidels.com</v>
      </c>
      <c r="I17" s="17" t="s">
        <v>356</v>
      </c>
      <c r="J17" t="str">
        <f>VLOOKUP($A17,Sheet1!$A$1:$E$31, 5, FALSE)</f>
        <v>Nigeria</v>
      </c>
    </row>
    <row r="18" spans="1:10" ht="13.5">
      <c r="A18" s="1" t="s">
        <v>242</v>
      </c>
      <c r="B18" s="1" t="s">
        <v>6</v>
      </c>
      <c r="C18" s="1" t="s">
        <v>1</v>
      </c>
      <c r="D18" s="2">
        <v>34666</v>
      </c>
      <c r="E18" s="1" t="s">
        <v>249</v>
      </c>
      <c r="F18" s="2">
        <v>37223</v>
      </c>
      <c r="G18" s="1" t="s">
        <v>248</v>
      </c>
      <c r="H18" t="str">
        <f>VLOOKUP($A18,Sheet1!$A$1:$E$31, 3, FALSE)</f>
        <v>'Claire Smedley' &lt;csmedley@vonseidels.com&gt;; 'Chandré Arendse' &lt;cbarendse@vonseidels.com&gt;; poliver@vonseidels.com</v>
      </c>
      <c r="I18" s="17" t="s">
        <v>357</v>
      </c>
      <c r="J18" t="str">
        <f>VLOOKUP($A18,Sheet1!$A$1:$E$31, 5, FALSE)</f>
        <v>Nigeria</v>
      </c>
    </row>
    <row r="19" spans="1:10" ht="13.5">
      <c r="A19" s="1" t="s">
        <v>242</v>
      </c>
      <c r="B19" s="1" t="s">
        <v>247</v>
      </c>
      <c r="C19" s="1" t="s">
        <v>1</v>
      </c>
      <c r="D19" s="2">
        <v>40702</v>
      </c>
      <c r="E19" s="1" t="s">
        <v>246</v>
      </c>
      <c r="F19" s="2">
        <v>42614</v>
      </c>
      <c r="G19" s="1" t="s">
        <v>245</v>
      </c>
      <c r="H19" t="str">
        <f>VLOOKUP($A19,Sheet1!$A$1:$E$31, 3, FALSE)</f>
        <v>'Claire Smedley' &lt;csmedley@vonseidels.com&gt;; 'Chandré Arendse' &lt;cbarendse@vonseidels.com&gt;; poliver@vonseidels.com</v>
      </c>
      <c r="I19" s="17" t="s">
        <v>358</v>
      </c>
      <c r="J19" t="str">
        <f>VLOOKUP($A19,Sheet1!$A$1:$E$31, 5, FALSE)</f>
        <v>Nigeria</v>
      </c>
    </row>
    <row r="20" spans="1:10" ht="13.5">
      <c r="A20" s="1" t="s">
        <v>242</v>
      </c>
      <c r="B20" s="1" t="s">
        <v>288</v>
      </c>
      <c r="C20" s="1" t="s">
        <v>1</v>
      </c>
      <c r="D20" s="2">
        <v>40654</v>
      </c>
      <c r="E20" s="1" t="s">
        <v>244</v>
      </c>
      <c r="F20" s="3"/>
      <c r="G20" s="3" t="s">
        <v>29</v>
      </c>
      <c r="H20" t="str">
        <f>VLOOKUP($A20,Sheet1!$A$1:$E$31, 3, FALSE)</f>
        <v>'Claire Smedley' &lt;csmedley@vonseidels.com&gt;; 'Chandré Arendse' &lt;cbarendse@vonseidels.com&gt;; poliver@vonseidels.com</v>
      </c>
      <c r="I20" s="17" t="s">
        <v>359</v>
      </c>
      <c r="J20" t="str">
        <f>VLOOKUP($A20,Sheet1!$A$1:$E$31, 5, FALSE)</f>
        <v>Nigeria</v>
      </c>
    </row>
    <row r="21" spans="1:10" ht="13.5">
      <c r="A21" s="1" t="s">
        <v>242</v>
      </c>
      <c r="B21" s="1" t="s">
        <v>45</v>
      </c>
      <c r="C21" s="1" t="s">
        <v>1</v>
      </c>
      <c r="D21" s="2">
        <v>41138</v>
      </c>
      <c r="E21" s="1" t="s">
        <v>243</v>
      </c>
      <c r="F21" s="3"/>
      <c r="G21" s="3" t="s">
        <v>29</v>
      </c>
      <c r="H21" t="str">
        <f>VLOOKUP($A21,Sheet1!$A$1:$E$31, 3, FALSE)</f>
        <v>'Claire Smedley' &lt;csmedley@vonseidels.com&gt;; 'Chandré Arendse' &lt;cbarendse@vonseidels.com&gt;; poliver@vonseidels.com</v>
      </c>
      <c r="I21" s="17" t="s">
        <v>360</v>
      </c>
      <c r="J21" t="str">
        <f>VLOOKUP($A21,Sheet1!$A$1:$E$31, 5, FALSE)</f>
        <v>Nigeria</v>
      </c>
    </row>
    <row r="22" spans="1:10" ht="13.5">
      <c r="A22" s="1" t="s">
        <v>242</v>
      </c>
      <c r="B22" s="1" t="s">
        <v>8</v>
      </c>
      <c r="C22" s="1" t="s">
        <v>1</v>
      </c>
      <c r="D22" s="2">
        <v>41138</v>
      </c>
      <c r="E22" s="1" t="s">
        <v>241</v>
      </c>
      <c r="F22" s="3"/>
      <c r="G22" s="3" t="s">
        <v>29</v>
      </c>
      <c r="H22" t="str">
        <f>VLOOKUP($A22,Sheet1!$A$1:$E$31, 3, FALSE)</f>
        <v>'Claire Smedley' &lt;csmedley@vonseidels.com&gt;; 'Chandré Arendse' &lt;cbarendse@vonseidels.com&gt;; poliver@vonseidels.com</v>
      </c>
      <c r="I22" s="17" t="s">
        <v>361</v>
      </c>
      <c r="J22" t="str">
        <f>VLOOKUP($A22,Sheet1!$A$1:$E$31, 5, FALSE)</f>
        <v>Nigeria</v>
      </c>
    </row>
    <row r="23" spans="1:10" ht="13.5">
      <c r="A23" s="1" t="s">
        <v>225</v>
      </c>
      <c r="B23" s="1" t="s">
        <v>288</v>
      </c>
      <c r="C23" s="1" t="s">
        <v>5</v>
      </c>
      <c r="D23" s="2">
        <v>42242</v>
      </c>
      <c r="E23" s="1" t="s">
        <v>240</v>
      </c>
      <c r="F23" s="2">
        <v>42242</v>
      </c>
      <c r="G23" s="1" t="s">
        <v>240</v>
      </c>
      <c r="H23" t="str">
        <f>VLOOKUP($A23,Sheet1!$A$1:$E$31, 3, FALSE)</f>
        <v>'Claire Smedley' &lt;csmedley@vonseidels.com&gt;; 'Chandré Arendse' &lt;cbarendse@vonseidels.com&gt;; poliver@vonseidels.com</v>
      </c>
      <c r="I23" s="17" t="s">
        <v>362</v>
      </c>
      <c r="J23" t="str">
        <f>VLOOKUP($A23,Sheet1!$A$1:$E$31, 5, FALSE)</f>
        <v>South Africa</v>
      </c>
    </row>
    <row r="24" spans="1:10" ht="13.5">
      <c r="A24" s="1" t="s">
        <v>225</v>
      </c>
      <c r="B24" s="1" t="s">
        <v>288</v>
      </c>
      <c r="C24" s="1" t="s">
        <v>1</v>
      </c>
      <c r="D24" s="2">
        <v>40647</v>
      </c>
      <c r="E24" s="1" t="s">
        <v>239</v>
      </c>
      <c r="F24" s="2">
        <v>40647</v>
      </c>
      <c r="G24" s="1" t="s">
        <v>238</v>
      </c>
      <c r="H24" t="str">
        <f>VLOOKUP($A24,Sheet1!$A$1:$E$31, 3, FALSE)</f>
        <v>'Claire Smedley' &lt;csmedley@vonseidels.com&gt;; 'Chandré Arendse' &lt;cbarendse@vonseidels.com&gt;; poliver@vonseidels.com</v>
      </c>
      <c r="I24" s="17" t="s">
        <v>363</v>
      </c>
      <c r="J24" t="str">
        <f>VLOOKUP($A24,Sheet1!$A$1:$E$31, 5, FALSE)</f>
        <v>South Africa</v>
      </c>
    </row>
    <row r="25" spans="1:10" ht="13.5">
      <c r="A25" s="1" t="s">
        <v>225</v>
      </c>
      <c r="B25" s="1" t="s">
        <v>45</v>
      </c>
      <c r="C25" s="1" t="s">
        <v>1</v>
      </c>
      <c r="D25" s="2">
        <v>42242</v>
      </c>
      <c r="E25" s="1" t="s">
        <v>237</v>
      </c>
      <c r="F25" s="2">
        <v>43791</v>
      </c>
      <c r="G25" s="1" t="s">
        <v>237</v>
      </c>
      <c r="H25" t="str">
        <f>VLOOKUP($A25,Sheet1!$A$1:$E$31, 3, FALSE)</f>
        <v>'Claire Smedley' &lt;csmedley@vonseidels.com&gt;; 'Chandré Arendse' &lt;cbarendse@vonseidels.com&gt;; poliver@vonseidels.com</v>
      </c>
      <c r="I25" s="17" t="s">
        <v>364</v>
      </c>
      <c r="J25" t="str">
        <f>VLOOKUP($A25,Sheet1!$A$1:$E$31, 5, FALSE)</f>
        <v>South Africa</v>
      </c>
    </row>
    <row r="26" spans="1:10" ht="13.5">
      <c r="A26" s="1" t="s">
        <v>225</v>
      </c>
      <c r="B26" s="1" t="s">
        <v>45</v>
      </c>
      <c r="C26" s="1" t="s">
        <v>5</v>
      </c>
      <c r="D26" s="2">
        <v>42242</v>
      </c>
      <c r="E26" s="1" t="s">
        <v>236</v>
      </c>
      <c r="F26" s="2">
        <v>43251</v>
      </c>
      <c r="G26" s="1" t="s">
        <v>236</v>
      </c>
      <c r="H26" t="str">
        <f>VLOOKUP($A26,Sheet1!$A$1:$E$31, 3, FALSE)</f>
        <v>'Claire Smedley' &lt;csmedley@vonseidels.com&gt;; 'Chandré Arendse' &lt;cbarendse@vonseidels.com&gt;; poliver@vonseidels.com</v>
      </c>
      <c r="I26" s="17" t="s">
        <v>365</v>
      </c>
      <c r="J26" t="str">
        <f>VLOOKUP($A26,Sheet1!$A$1:$E$31, 5, FALSE)</f>
        <v>South Africa</v>
      </c>
    </row>
    <row r="27" spans="1:10" ht="13.5">
      <c r="A27" s="1" t="s">
        <v>225</v>
      </c>
      <c r="B27" s="1" t="s">
        <v>6</v>
      </c>
      <c r="C27" s="1" t="s">
        <v>1</v>
      </c>
      <c r="D27" s="2">
        <v>34689</v>
      </c>
      <c r="E27" s="1" t="s">
        <v>235</v>
      </c>
      <c r="F27" s="2">
        <v>35713</v>
      </c>
      <c r="G27" s="1" t="s">
        <v>234</v>
      </c>
      <c r="H27" t="str">
        <f>VLOOKUP($A27,Sheet1!$A$1:$E$31, 3, FALSE)</f>
        <v>'Claire Smedley' &lt;csmedley@vonseidels.com&gt;; 'Chandré Arendse' &lt;cbarendse@vonseidels.com&gt;; poliver@vonseidels.com</v>
      </c>
      <c r="I27" s="17" t="s">
        <v>366</v>
      </c>
      <c r="J27" t="str">
        <f>VLOOKUP($A27,Sheet1!$A$1:$E$31, 5, FALSE)</f>
        <v>South Africa</v>
      </c>
    </row>
    <row r="28" spans="1:10" ht="13.5">
      <c r="A28" s="1" t="s">
        <v>225</v>
      </c>
      <c r="B28" s="1" t="s">
        <v>8</v>
      </c>
      <c r="C28" s="1" t="s">
        <v>5</v>
      </c>
      <c r="D28" s="2">
        <v>42242</v>
      </c>
      <c r="E28" s="1" t="s">
        <v>233</v>
      </c>
      <c r="F28" s="2">
        <v>43126</v>
      </c>
      <c r="G28" s="1" t="s">
        <v>233</v>
      </c>
      <c r="H28" t="str">
        <f>VLOOKUP($A28,Sheet1!$A$1:$E$31, 3, FALSE)</f>
        <v>'Claire Smedley' &lt;csmedley@vonseidels.com&gt;; 'Chandré Arendse' &lt;cbarendse@vonseidels.com&gt;; poliver@vonseidels.com</v>
      </c>
      <c r="I28" s="17" t="s">
        <v>367</v>
      </c>
      <c r="J28" t="str">
        <f>VLOOKUP($A28,Sheet1!$A$1:$E$31, 5, FALSE)</f>
        <v>South Africa</v>
      </c>
    </row>
    <row r="29" spans="1:10" ht="13.5">
      <c r="A29" s="1" t="s">
        <v>225</v>
      </c>
      <c r="B29" s="1" t="s">
        <v>8</v>
      </c>
      <c r="C29" s="1" t="s">
        <v>1</v>
      </c>
      <c r="D29" s="2">
        <v>41212</v>
      </c>
      <c r="E29" s="1" t="s">
        <v>232</v>
      </c>
      <c r="F29" s="2">
        <v>41876</v>
      </c>
      <c r="G29" s="1" t="s">
        <v>231</v>
      </c>
      <c r="H29" t="str">
        <f>VLOOKUP($A29,Sheet1!$A$1:$E$31, 3, FALSE)</f>
        <v>'Claire Smedley' &lt;csmedley@vonseidels.com&gt;; 'Chandré Arendse' &lt;cbarendse@vonseidels.com&gt;; poliver@vonseidels.com</v>
      </c>
      <c r="I29" s="17" t="s">
        <v>368</v>
      </c>
      <c r="J29" t="str">
        <f>VLOOKUP($A29,Sheet1!$A$1:$E$31, 5, FALSE)</f>
        <v>South Africa</v>
      </c>
    </row>
    <row r="30" spans="1:10" ht="13.5">
      <c r="A30" s="1" t="s">
        <v>225</v>
      </c>
      <c r="B30" s="1" t="s">
        <v>6</v>
      </c>
      <c r="C30" s="1" t="s">
        <v>5</v>
      </c>
      <c r="D30" s="2">
        <v>42242</v>
      </c>
      <c r="E30" s="1" t="s">
        <v>230</v>
      </c>
      <c r="F30" s="2">
        <v>43791</v>
      </c>
      <c r="G30" s="1" t="s">
        <v>230</v>
      </c>
      <c r="H30" t="str">
        <f>VLOOKUP($A30,Sheet1!$A$1:$E$31, 3, FALSE)</f>
        <v>'Claire Smedley' &lt;csmedley@vonseidels.com&gt;; 'Chandré Arendse' &lt;cbarendse@vonseidels.com&gt;; poliver@vonseidels.com</v>
      </c>
      <c r="I30" s="17" t="s">
        <v>369</v>
      </c>
      <c r="J30" t="str">
        <f>VLOOKUP($A30,Sheet1!$A$1:$E$31, 5, FALSE)</f>
        <v>South Africa</v>
      </c>
    </row>
    <row r="31" spans="1:10" ht="13.5">
      <c r="A31" s="1" t="s">
        <v>225</v>
      </c>
      <c r="B31" s="1" t="s">
        <v>6</v>
      </c>
      <c r="C31" s="1" t="s">
        <v>229</v>
      </c>
      <c r="D31" s="2">
        <v>42836</v>
      </c>
      <c r="E31" s="1" t="s">
        <v>228</v>
      </c>
      <c r="F31" s="2">
        <v>43553</v>
      </c>
      <c r="G31" s="1" t="s">
        <v>228</v>
      </c>
      <c r="H31" t="str">
        <f>VLOOKUP($A31,Sheet1!$A$1:$E$31, 3, FALSE)</f>
        <v>'Claire Smedley' &lt;csmedley@vonseidels.com&gt;; 'Chandré Arendse' &lt;cbarendse@vonseidels.com&gt;; poliver@vonseidels.com</v>
      </c>
      <c r="I31" s="17" t="s">
        <v>370</v>
      </c>
      <c r="J31" t="str">
        <f>VLOOKUP($A31,Sheet1!$A$1:$E$31, 5, FALSE)</f>
        <v>South Africa</v>
      </c>
    </row>
    <row r="32" spans="1:10" ht="13.5">
      <c r="A32" s="1" t="s">
        <v>225</v>
      </c>
      <c r="B32" s="1" t="s">
        <v>14</v>
      </c>
      <c r="C32" s="1" t="s">
        <v>1</v>
      </c>
      <c r="D32" s="2">
        <v>43584</v>
      </c>
      <c r="E32" s="1" t="s">
        <v>227</v>
      </c>
      <c r="F32" s="2">
        <v>43584</v>
      </c>
      <c r="G32" s="1" t="s">
        <v>227</v>
      </c>
      <c r="H32" t="str">
        <f>VLOOKUP($A32,Sheet1!$A$1:$E$31, 3, FALSE)</f>
        <v>'Claire Smedley' &lt;csmedley@vonseidels.com&gt;; 'Chandré Arendse' &lt;cbarendse@vonseidels.com&gt;; poliver@vonseidels.com</v>
      </c>
      <c r="I32" s="17" t="s">
        <v>371</v>
      </c>
      <c r="J32" t="str">
        <f>VLOOKUP($A32,Sheet1!$A$1:$E$31, 5, FALSE)</f>
        <v>South Africa</v>
      </c>
    </row>
    <row r="33" spans="1:10" ht="13.5">
      <c r="A33" s="1" t="s">
        <v>225</v>
      </c>
      <c r="B33" s="1" t="s">
        <v>33</v>
      </c>
      <c r="C33" s="1" t="s">
        <v>1</v>
      </c>
      <c r="D33" s="2">
        <v>43467</v>
      </c>
      <c r="E33" s="1" t="s">
        <v>226</v>
      </c>
      <c r="F33" s="2">
        <v>44008</v>
      </c>
      <c r="G33" s="1" t="s">
        <v>226</v>
      </c>
      <c r="H33" t="str">
        <f>VLOOKUP($A33,Sheet1!$A$1:$E$31, 3, FALSE)</f>
        <v>'Claire Smedley' &lt;csmedley@vonseidels.com&gt;; 'Chandré Arendse' &lt;cbarendse@vonseidels.com&gt;; poliver@vonseidels.com</v>
      </c>
      <c r="I33" s="17" t="s">
        <v>372</v>
      </c>
      <c r="J33" t="str">
        <f>VLOOKUP($A33,Sheet1!$A$1:$E$31, 5, FALSE)</f>
        <v>South Africa</v>
      </c>
    </row>
    <row r="34" spans="1:10" ht="13.5">
      <c r="A34" s="1" t="s">
        <v>225</v>
      </c>
      <c r="B34" s="1" t="s">
        <v>224</v>
      </c>
      <c r="C34" s="1" t="s">
        <v>1</v>
      </c>
      <c r="D34" s="2">
        <v>43279</v>
      </c>
      <c r="E34" s="1" t="s">
        <v>223</v>
      </c>
      <c r="F34" s="2">
        <v>44160</v>
      </c>
      <c r="G34" s="1" t="s">
        <v>223</v>
      </c>
      <c r="H34" t="str">
        <f>VLOOKUP($A34,Sheet1!$A$1:$E$31, 3, FALSE)</f>
        <v>'Claire Smedley' &lt;csmedley@vonseidels.com&gt;; 'Chandré Arendse' &lt;cbarendse@vonseidels.com&gt;; poliver@vonseidels.com</v>
      </c>
      <c r="I34" s="17" t="s">
        <v>373</v>
      </c>
      <c r="J34" t="str">
        <f>VLOOKUP($A34,Sheet1!$A$1:$E$31, 5, FALSE)</f>
        <v>South Africa</v>
      </c>
    </row>
    <row r="35" spans="1:10" ht="13.5">
      <c r="A35" s="1" t="s">
        <v>217</v>
      </c>
      <c r="B35" s="1" t="s">
        <v>12</v>
      </c>
      <c r="C35" s="1" t="s">
        <v>1</v>
      </c>
      <c r="D35" s="2">
        <v>44092</v>
      </c>
      <c r="E35" s="1" t="s">
        <v>222</v>
      </c>
      <c r="F35" s="2">
        <v>44258</v>
      </c>
      <c r="G35" s="1" t="s">
        <v>221</v>
      </c>
      <c r="H35" t="str">
        <f>VLOOKUP($A35,Sheet1!$A$1:$E$31, 3, FALSE)</f>
        <v>info guybendana.com.ni &lt;info@guybendana.com.ni&gt;; ipprosecution guybendana.com.ni &lt;ipprosecution@guybendana.com.ni&gt;; attorney guybendana.com.ni &lt;attorney@guybendana.com.ni&gt;</v>
      </c>
      <c r="I35" s="17" t="s">
        <v>374</v>
      </c>
      <c r="J35" t="str">
        <f>VLOOKUP($A35,Sheet1!$A$1:$E$31, 5, FALSE)</f>
        <v>Nicaragua</v>
      </c>
    </row>
    <row r="36" spans="1:10" ht="13.5">
      <c r="A36" s="1" t="s">
        <v>217</v>
      </c>
      <c r="B36" s="1" t="s">
        <v>2</v>
      </c>
      <c r="C36" s="1" t="s">
        <v>1</v>
      </c>
      <c r="D36" s="3"/>
      <c r="E36" s="3" t="s">
        <v>29</v>
      </c>
      <c r="F36" s="3"/>
      <c r="G36" s="1" t="s">
        <v>220</v>
      </c>
      <c r="H36" t="str">
        <f>VLOOKUP($A36,Sheet1!$A$1:$E$31, 3, FALSE)</f>
        <v>info guybendana.com.ni &lt;info@guybendana.com.ni&gt;; ipprosecution guybendana.com.ni &lt;ipprosecution@guybendana.com.ni&gt;; attorney guybendana.com.ni &lt;attorney@guybendana.com.ni&gt;</v>
      </c>
      <c r="I36" s="17" t="s">
        <v>375</v>
      </c>
      <c r="J36" t="str">
        <f>VLOOKUP($A36,Sheet1!$A$1:$E$31, 5, FALSE)</f>
        <v>Nicaragua</v>
      </c>
    </row>
    <row r="37" spans="1:10" ht="13.5">
      <c r="A37" s="1" t="s">
        <v>217</v>
      </c>
      <c r="B37" s="1" t="s">
        <v>6</v>
      </c>
      <c r="C37" s="1" t="s">
        <v>1</v>
      </c>
      <c r="D37" s="2">
        <v>40862</v>
      </c>
      <c r="E37" s="1" t="s">
        <v>219</v>
      </c>
      <c r="F37" s="2">
        <v>41794</v>
      </c>
      <c r="G37" s="1" t="s">
        <v>218</v>
      </c>
      <c r="H37" t="str">
        <f>VLOOKUP($A37,Sheet1!$A$1:$E$31, 3, FALSE)</f>
        <v>info guybendana.com.ni &lt;info@guybendana.com.ni&gt;; ipprosecution guybendana.com.ni &lt;ipprosecution@guybendana.com.ni&gt;; attorney guybendana.com.ni &lt;attorney@guybendana.com.ni&gt;</v>
      </c>
      <c r="I37" s="17" t="s">
        <v>376</v>
      </c>
      <c r="J37" t="str">
        <f>VLOOKUP($A37,Sheet1!$A$1:$E$31, 5, FALSE)</f>
        <v>Nicaragua</v>
      </c>
    </row>
    <row r="38" spans="1:10" ht="13.5">
      <c r="A38" s="1" t="s">
        <v>217</v>
      </c>
      <c r="B38" s="1" t="s">
        <v>8</v>
      </c>
      <c r="C38" s="1" t="s">
        <v>1</v>
      </c>
      <c r="D38" s="2">
        <v>42678</v>
      </c>
      <c r="E38" s="1" t="s">
        <v>216</v>
      </c>
      <c r="F38" s="2">
        <v>42912</v>
      </c>
      <c r="G38" s="1" t="s">
        <v>215</v>
      </c>
      <c r="H38" t="str">
        <f>VLOOKUP($A38,Sheet1!$A$1:$E$31, 3, FALSE)</f>
        <v>info guybendana.com.ni &lt;info@guybendana.com.ni&gt;; ipprosecution guybendana.com.ni &lt;ipprosecution@guybendana.com.ni&gt;; attorney guybendana.com.ni &lt;attorney@guybendana.com.ni&gt;</v>
      </c>
      <c r="I38" s="17" t="s">
        <v>377</v>
      </c>
      <c r="J38" t="str">
        <f>VLOOKUP($A38,Sheet1!$A$1:$E$31, 5, FALSE)</f>
        <v>Nicaragua</v>
      </c>
    </row>
    <row r="39" spans="1:10" ht="13.5">
      <c r="A39" s="1" t="s">
        <v>205</v>
      </c>
      <c r="B39" s="1" t="s">
        <v>6</v>
      </c>
      <c r="C39" s="1" t="s">
        <v>1</v>
      </c>
      <c r="D39" s="2">
        <v>42136</v>
      </c>
      <c r="E39" s="1" t="s">
        <v>214</v>
      </c>
      <c r="F39" s="2">
        <v>44564</v>
      </c>
      <c r="G39" s="1" t="s">
        <v>213</v>
      </c>
      <c r="H39" t="str">
        <f>VLOOKUP($A39,Sheet1!$A$1:$E$31, 3, FALSE)</f>
        <v>trademarks@castillo.com.do</v>
      </c>
      <c r="I39" s="17" t="s">
        <v>378</v>
      </c>
      <c r="J39" t="str">
        <f>VLOOKUP($A39,Sheet1!$A$1:$E$31, 5, FALSE)</f>
        <v>Dominican Republic</v>
      </c>
    </row>
    <row r="40" spans="1:10" ht="13.5">
      <c r="A40" s="1" t="s">
        <v>205</v>
      </c>
      <c r="B40" s="1" t="s">
        <v>2</v>
      </c>
      <c r="C40" s="1" t="s">
        <v>1</v>
      </c>
      <c r="D40" s="2">
        <v>42136</v>
      </c>
      <c r="E40" s="1" t="s">
        <v>212</v>
      </c>
      <c r="F40" s="2">
        <v>42720</v>
      </c>
      <c r="G40" s="1" t="s">
        <v>212</v>
      </c>
      <c r="H40" t="str">
        <f>VLOOKUP($A40,Sheet1!$A$1:$E$31, 3, FALSE)</f>
        <v>trademarks@castillo.com.do</v>
      </c>
      <c r="I40" s="17" t="s">
        <v>379</v>
      </c>
      <c r="J40" t="str">
        <f>VLOOKUP($A40,Sheet1!$A$1:$E$31, 5, FALSE)</f>
        <v>Dominican Republic</v>
      </c>
    </row>
    <row r="41" spans="1:10" ht="13.5">
      <c r="A41" s="1" t="s">
        <v>205</v>
      </c>
      <c r="B41" s="1" t="s">
        <v>59</v>
      </c>
      <c r="C41" s="1" t="s">
        <v>50</v>
      </c>
      <c r="D41" s="2">
        <v>45079</v>
      </c>
      <c r="E41" s="1" t="s">
        <v>211</v>
      </c>
      <c r="F41" s="2">
        <v>45163</v>
      </c>
      <c r="G41" s="1" t="s">
        <v>210</v>
      </c>
      <c r="H41" t="str">
        <f>VLOOKUP($A41,Sheet1!$A$1:$E$31, 3, FALSE)</f>
        <v>trademarks@castillo.com.do</v>
      </c>
      <c r="I41" s="17" t="s">
        <v>380</v>
      </c>
      <c r="J41" t="str">
        <f>VLOOKUP($A41,Sheet1!$A$1:$E$31, 5, FALSE)</f>
        <v>Dominican Republic</v>
      </c>
    </row>
    <row r="42" spans="1:10" ht="13.5">
      <c r="A42" s="1" t="s">
        <v>205</v>
      </c>
      <c r="B42" s="1" t="s">
        <v>149</v>
      </c>
      <c r="C42" s="1" t="s">
        <v>50</v>
      </c>
      <c r="D42" s="2">
        <v>45064</v>
      </c>
      <c r="E42" s="1" t="s">
        <v>209</v>
      </c>
      <c r="F42" s="2">
        <v>45146</v>
      </c>
      <c r="G42" s="1" t="s">
        <v>208</v>
      </c>
      <c r="H42" t="str">
        <f>VLOOKUP($A42,Sheet1!$A$1:$E$31, 3, FALSE)</f>
        <v>trademarks@castillo.com.do</v>
      </c>
      <c r="I42" s="17" t="s">
        <v>381</v>
      </c>
      <c r="J42" t="str">
        <f>VLOOKUP($A42,Sheet1!$A$1:$E$31, 5, FALSE)</f>
        <v>Dominican Republic</v>
      </c>
    </row>
    <row r="43" spans="1:10" ht="13.5">
      <c r="A43" s="1" t="s">
        <v>205</v>
      </c>
      <c r="B43" s="1" t="s">
        <v>158</v>
      </c>
      <c r="C43" s="1" t="s">
        <v>50</v>
      </c>
      <c r="D43" s="2">
        <v>45079</v>
      </c>
      <c r="E43" s="1" t="s">
        <v>207</v>
      </c>
      <c r="F43" s="2">
        <v>45163</v>
      </c>
      <c r="G43" s="1" t="s">
        <v>206</v>
      </c>
      <c r="H43" t="str">
        <f>VLOOKUP($A43,Sheet1!$A$1:$E$31, 3, FALSE)</f>
        <v>trademarks@castillo.com.do</v>
      </c>
      <c r="I43" s="17" t="s">
        <v>382</v>
      </c>
      <c r="J43" t="str">
        <f>VLOOKUP($A43,Sheet1!$A$1:$E$31, 5, FALSE)</f>
        <v>Dominican Republic</v>
      </c>
    </row>
    <row r="44" spans="1:10" ht="13.5">
      <c r="A44" s="1" t="s">
        <v>205</v>
      </c>
      <c r="B44" s="1" t="s">
        <v>8</v>
      </c>
      <c r="C44" s="1" t="s">
        <v>50</v>
      </c>
      <c r="D44" s="2">
        <v>45079</v>
      </c>
      <c r="E44" s="1" t="s">
        <v>204</v>
      </c>
      <c r="F44" s="2">
        <v>45726</v>
      </c>
      <c r="G44" s="1" t="s">
        <v>203</v>
      </c>
      <c r="H44" t="str">
        <f>VLOOKUP($A44,Sheet1!$A$1:$E$31, 3, FALSE)</f>
        <v>trademarks@castillo.com.do</v>
      </c>
      <c r="I44" s="17" t="s">
        <v>383</v>
      </c>
      <c r="J44" t="str">
        <f>VLOOKUP($A44,Sheet1!$A$1:$E$31, 5, FALSE)</f>
        <v>Dominican Republic</v>
      </c>
    </row>
    <row r="45" spans="1:10" ht="13.5">
      <c r="A45" s="1" t="s">
        <v>200</v>
      </c>
      <c r="B45" s="1" t="s">
        <v>33</v>
      </c>
      <c r="C45" s="1" t="s">
        <v>1</v>
      </c>
      <c r="D45" s="2">
        <v>43486</v>
      </c>
      <c r="E45" s="1" t="s">
        <v>202</v>
      </c>
      <c r="F45" s="2">
        <v>43759</v>
      </c>
      <c r="G45" s="1" t="s">
        <v>201</v>
      </c>
      <c r="H45" t="str">
        <f>VLOOKUP($A45,Sheet1!$A$1:$E$31, 3, FALSE)</f>
        <v>'Claire Smedley' &lt;csmedley@vonseidels.com&gt;; 'Chandré Arendse' &lt;cbarendse@vonseidels.com&gt;; poliver@vonseidels.com</v>
      </c>
      <c r="I45" s="17" t="s">
        <v>384</v>
      </c>
      <c r="J45" t="str">
        <f>VLOOKUP($A45,Sheet1!$A$1:$E$31, 5, FALSE)</f>
        <v>Liberia</v>
      </c>
    </row>
    <row r="46" spans="1:10" ht="13.5">
      <c r="A46" s="1" t="s">
        <v>200</v>
      </c>
      <c r="B46" s="1" t="s">
        <v>18</v>
      </c>
      <c r="C46" s="1" t="s">
        <v>1</v>
      </c>
      <c r="D46" s="2">
        <v>43224</v>
      </c>
      <c r="E46" s="1" t="s">
        <v>199</v>
      </c>
      <c r="F46" s="2">
        <v>43256</v>
      </c>
      <c r="G46" s="1" t="s">
        <v>199</v>
      </c>
      <c r="H46" t="str">
        <f>VLOOKUP($A46,Sheet1!$A$1:$E$31, 3, FALSE)</f>
        <v>'Claire Smedley' &lt;csmedley@vonseidels.com&gt;; 'Chandré Arendse' &lt;cbarendse@vonseidels.com&gt;; poliver@vonseidels.com</v>
      </c>
      <c r="I46" s="17" t="s">
        <v>385</v>
      </c>
      <c r="J46" t="str">
        <f>VLOOKUP($A46,Sheet1!$A$1:$E$31, 5, FALSE)</f>
        <v>Liberia</v>
      </c>
    </row>
    <row r="47" spans="1:10" ht="13.5">
      <c r="A47" s="1" t="s">
        <v>196</v>
      </c>
      <c r="B47" s="1" t="s">
        <v>18</v>
      </c>
      <c r="C47" s="1" t="s">
        <v>50</v>
      </c>
      <c r="D47" s="2">
        <v>44945</v>
      </c>
      <c r="E47" s="1" t="s">
        <v>198</v>
      </c>
      <c r="F47" s="2">
        <v>45168</v>
      </c>
      <c r="G47" s="1" t="s">
        <v>197</v>
      </c>
      <c r="H47" t="str">
        <f>VLOOKUP($A47,Sheet1!$A$1:$E$31, 3, FALSE)</f>
        <v>info@ensafrica.com; rforster@ensafrica.com</v>
      </c>
      <c r="I47" s="17" t="s">
        <v>386</v>
      </c>
      <c r="J47" t="str">
        <f>VLOOKUP($A47,Sheet1!$A$1:$E$31, 5, FALSE)</f>
        <v>Madagascar</v>
      </c>
    </row>
    <row r="48" spans="1:10" ht="13.5">
      <c r="A48" s="1" t="s">
        <v>196</v>
      </c>
      <c r="B48" s="1" t="s">
        <v>8</v>
      </c>
      <c r="C48" s="1" t="s">
        <v>50</v>
      </c>
      <c r="D48" s="2">
        <v>44945</v>
      </c>
      <c r="E48" s="1" t="s">
        <v>195</v>
      </c>
      <c r="F48" s="2">
        <v>45168</v>
      </c>
      <c r="G48" s="1" t="s">
        <v>194</v>
      </c>
      <c r="H48" t="str">
        <f>VLOOKUP($A48,Sheet1!$A$1:$E$31, 3, FALSE)</f>
        <v>info@ensafrica.com; rforster@ensafrica.com</v>
      </c>
      <c r="I48" s="17" t="s">
        <v>387</v>
      </c>
      <c r="J48" t="str">
        <f>VLOOKUP($A48,Sheet1!$A$1:$E$31, 5, FALSE)</f>
        <v>Madagascar</v>
      </c>
    </row>
    <row r="49" spans="1:10" ht="13.5">
      <c r="A49" s="1" t="s">
        <v>190</v>
      </c>
      <c r="B49" s="1" t="s">
        <v>18</v>
      </c>
      <c r="C49" s="1" t="s">
        <v>50</v>
      </c>
      <c r="D49" s="2">
        <v>44930</v>
      </c>
      <c r="E49" s="1" t="s">
        <v>193</v>
      </c>
      <c r="F49" s="2">
        <v>45335</v>
      </c>
      <c r="G49" s="1" t="s">
        <v>193</v>
      </c>
      <c r="H49" t="str">
        <f>VLOOKUP($A49,Sheet1!$A$1:$E$31, 3, FALSE)</f>
        <v>info@ensafrica.com; rforster@ensafrica.com</v>
      </c>
      <c r="I49" s="17" t="s">
        <v>388</v>
      </c>
      <c r="J49" t="str">
        <f>VLOOKUP($A49,Sheet1!$A$1:$E$31, 5, FALSE)</f>
        <v>Malawi</v>
      </c>
    </row>
    <row r="50" spans="1:10" ht="13.5">
      <c r="A50" s="1" t="s">
        <v>190</v>
      </c>
      <c r="B50" s="1" t="s">
        <v>8</v>
      </c>
      <c r="C50" s="1" t="s">
        <v>50</v>
      </c>
      <c r="D50" s="2">
        <v>44930</v>
      </c>
      <c r="E50" s="1" t="s">
        <v>192</v>
      </c>
      <c r="F50" s="2">
        <v>45062</v>
      </c>
      <c r="G50" s="1" t="s">
        <v>192</v>
      </c>
      <c r="H50" t="str">
        <f>VLOOKUP($A50,Sheet1!$A$1:$E$31, 3, FALSE)</f>
        <v>info@ensafrica.com; rforster@ensafrica.com</v>
      </c>
      <c r="I50" s="17" t="s">
        <v>389</v>
      </c>
      <c r="J50" t="str">
        <f>VLOOKUP($A50,Sheet1!$A$1:$E$31, 5, FALSE)</f>
        <v>Malawi</v>
      </c>
    </row>
    <row r="51" spans="1:10" ht="13.5">
      <c r="A51" s="1" t="s">
        <v>190</v>
      </c>
      <c r="B51" s="1" t="s">
        <v>59</v>
      </c>
      <c r="C51" s="1" t="s">
        <v>50</v>
      </c>
      <c r="D51" s="2">
        <v>44930</v>
      </c>
      <c r="E51" s="1" t="s">
        <v>191</v>
      </c>
      <c r="F51" s="2">
        <v>45062</v>
      </c>
      <c r="G51" s="1" t="s">
        <v>191</v>
      </c>
      <c r="H51" t="str">
        <f>VLOOKUP($A51,Sheet1!$A$1:$E$31, 3, FALSE)</f>
        <v>info@ensafrica.com; rforster@ensafrica.com</v>
      </c>
      <c r="I51" s="17" t="s">
        <v>390</v>
      </c>
      <c r="J51" t="str">
        <f>VLOOKUP($A51,Sheet1!$A$1:$E$31, 5, FALSE)</f>
        <v>Malawi</v>
      </c>
    </row>
    <row r="52" spans="1:10" ht="13.5">
      <c r="A52" s="1" t="s">
        <v>190</v>
      </c>
      <c r="B52" s="1" t="s">
        <v>6</v>
      </c>
      <c r="C52" s="1" t="s">
        <v>1</v>
      </c>
      <c r="D52" s="2">
        <v>42979</v>
      </c>
      <c r="E52" s="1" t="s">
        <v>189</v>
      </c>
      <c r="F52" s="2">
        <v>43133</v>
      </c>
      <c r="G52" s="1" t="s">
        <v>189</v>
      </c>
      <c r="H52" t="str">
        <f>VLOOKUP($A52,Sheet1!$A$1:$E$31, 3, FALSE)</f>
        <v>info@ensafrica.com; rforster@ensafrica.com</v>
      </c>
      <c r="I52" s="17" t="s">
        <v>391</v>
      </c>
      <c r="J52" t="str">
        <f>VLOOKUP($A52,Sheet1!$A$1:$E$31, 5, FALSE)</f>
        <v>Malawi</v>
      </c>
    </row>
    <row r="53" spans="1:10" ht="13.5">
      <c r="A53" s="1" t="s">
        <v>181</v>
      </c>
      <c r="B53" s="1" t="s">
        <v>52</v>
      </c>
      <c r="C53" s="1" t="s">
        <v>50</v>
      </c>
      <c r="D53" s="2">
        <v>44939</v>
      </c>
      <c r="E53" s="1" t="s">
        <v>188</v>
      </c>
      <c r="F53" s="2">
        <v>45042</v>
      </c>
      <c r="G53" s="1" t="s">
        <v>187</v>
      </c>
      <c r="H53" t="str">
        <f>VLOOKUP($A53,Sheet1!$A$1:$E$31, 3, FALSE)</f>
        <v>info@ensafrica.com; rforster@ensafrica.com</v>
      </c>
      <c r="I53" s="17" t="s">
        <v>392</v>
      </c>
      <c r="J53" t="str">
        <f>VLOOKUP($A53,Sheet1!$A$1:$E$31, 5, FALSE)</f>
        <v>Mauritius</v>
      </c>
    </row>
    <row r="54" spans="1:10" ht="13.5">
      <c r="A54" s="1" t="s">
        <v>181</v>
      </c>
      <c r="B54" s="1" t="s">
        <v>18</v>
      </c>
      <c r="C54" s="1" t="s">
        <v>50</v>
      </c>
      <c r="D54" s="2">
        <v>44937</v>
      </c>
      <c r="E54" s="1" t="s">
        <v>186</v>
      </c>
      <c r="F54" s="2">
        <v>45042</v>
      </c>
      <c r="G54" s="1" t="s">
        <v>185</v>
      </c>
      <c r="H54" t="str">
        <f>VLOOKUP($A54,Sheet1!$A$1:$E$31, 3, FALSE)</f>
        <v>info@ensafrica.com; rforster@ensafrica.com</v>
      </c>
      <c r="I54" s="17" t="s">
        <v>393</v>
      </c>
      <c r="J54" t="str">
        <f>VLOOKUP($A54,Sheet1!$A$1:$E$31, 5, FALSE)</f>
        <v>Mauritius</v>
      </c>
    </row>
    <row r="55" spans="1:10" ht="13.5">
      <c r="A55" s="1" t="s">
        <v>181</v>
      </c>
      <c r="B55" s="1" t="s">
        <v>59</v>
      </c>
      <c r="C55" s="1" t="s">
        <v>50</v>
      </c>
      <c r="D55" s="2">
        <v>44937</v>
      </c>
      <c r="E55" s="1" t="s">
        <v>184</v>
      </c>
      <c r="F55" s="2">
        <v>45042</v>
      </c>
      <c r="G55" s="1" t="s">
        <v>183</v>
      </c>
      <c r="H55" t="str">
        <f>VLOOKUP($A55,Sheet1!$A$1:$E$31, 3, FALSE)</f>
        <v>info@ensafrica.com; rforster@ensafrica.com</v>
      </c>
      <c r="I55" s="17" t="s">
        <v>394</v>
      </c>
      <c r="J55" t="str">
        <f>VLOOKUP($A55,Sheet1!$A$1:$E$31, 5, FALSE)</f>
        <v>Mauritius</v>
      </c>
    </row>
    <row r="56" spans="1:10" ht="13.5">
      <c r="A56" s="1" t="s">
        <v>181</v>
      </c>
      <c r="B56" s="1" t="s">
        <v>6</v>
      </c>
      <c r="C56" s="1" t="s">
        <v>1</v>
      </c>
      <c r="D56" s="2">
        <v>42765</v>
      </c>
      <c r="E56" s="1" t="s">
        <v>182</v>
      </c>
      <c r="F56" s="2">
        <v>42877</v>
      </c>
      <c r="G56" s="1" t="s">
        <v>182</v>
      </c>
      <c r="H56" t="str">
        <f>VLOOKUP($A56,Sheet1!$A$1:$E$31, 3, FALSE)</f>
        <v>info@ensafrica.com; rforster@ensafrica.com</v>
      </c>
      <c r="I56" s="17" t="s">
        <v>395</v>
      </c>
      <c r="J56" t="str">
        <f>VLOOKUP($A56,Sheet1!$A$1:$E$31, 5, FALSE)</f>
        <v>Mauritius</v>
      </c>
    </row>
    <row r="57" spans="1:10" ht="13.5">
      <c r="A57" s="1" t="s">
        <v>181</v>
      </c>
      <c r="B57" s="1" t="s">
        <v>8</v>
      </c>
      <c r="C57" s="1" t="s">
        <v>1</v>
      </c>
      <c r="D57" s="2">
        <v>43434</v>
      </c>
      <c r="E57" s="1" t="s">
        <v>180</v>
      </c>
      <c r="F57" s="2">
        <v>43434</v>
      </c>
      <c r="G57" s="1" t="s">
        <v>179</v>
      </c>
      <c r="H57" t="str">
        <f>VLOOKUP($A57,Sheet1!$A$1:$E$31, 3, FALSE)</f>
        <v>info@ensafrica.com; rforster@ensafrica.com</v>
      </c>
      <c r="I57" s="17" t="s">
        <v>396</v>
      </c>
      <c r="J57" t="str">
        <f>VLOOKUP($A57,Sheet1!$A$1:$E$31, 5, FALSE)</f>
        <v>Mauritius</v>
      </c>
    </row>
    <row r="58" spans="1:10" ht="13.5">
      <c r="A58" s="1" t="s">
        <v>174</v>
      </c>
      <c r="B58" s="1" t="s">
        <v>59</v>
      </c>
      <c r="C58" s="1" t="s">
        <v>50</v>
      </c>
      <c r="D58" s="2">
        <v>44938</v>
      </c>
      <c r="E58" s="1" t="s">
        <v>178</v>
      </c>
      <c r="F58" s="2">
        <v>45069</v>
      </c>
      <c r="G58" s="1" t="s">
        <v>177</v>
      </c>
      <c r="H58" t="str">
        <f>VLOOKUP($A58,Sheet1!$A$1:$E$31, 3, FALSE)</f>
        <v>info@ensafrica.com; rforster@ensafrica.com</v>
      </c>
      <c r="I58" s="17" t="s">
        <v>397</v>
      </c>
      <c r="J58" t="str">
        <f>VLOOKUP($A58,Sheet1!$A$1:$E$31, 5, FALSE)</f>
        <v>Mozambique</v>
      </c>
    </row>
    <row r="59" spans="1:10" ht="13.5">
      <c r="A59" s="1" t="s">
        <v>174</v>
      </c>
      <c r="B59" s="1" t="s">
        <v>286</v>
      </c>
      <c r="C59" s="1" t="s">
        <v>1</v>
      </c>
      <c r="D59" s="2">
        <v>43921</v>
      </c>
      <c r="E59" s="1" t="s">
        <v>176</v>
      </c>
      <c r="F59" s="2">
        <v>43921</v>
      </c>
      <c r="G59" s="1" t="s">
        <v>175</v>
      </c>
      <c r="H59" t="str">
        <f>VLOOKUP($A59,Sheet1!$A$1:$E$31, 3, FALSE)</f>
        <v>info@ensafrica.com; rforster@ensafrica.com</v>
      </c>
      <c r="I59" s="17" t="s">
        <v>398</v>
      </c>
      <c r="J59" t="str">
        <f>VLOOKUP($A59,Sheet1!$A$1:$E$31, 5, FALSE)</f>
        <v>Mozambique</v>
      </c>
    </row>
    <row r="60" spans="1:10" ht="13.5">
      <c r="A60" s="1" t="s">
        <v>174</v>
      </c>
      <c r="B60" s="1" t="s">
        <v>18</v>
      </c>
      <c r="C60" s="1" t="s">
        <v>1</v>
      </c>
      <c r="D60" s="2">
        <v>43201</v>
      </c>
      <c r="E60" s="1" t="s">
        <v>173</v>
      </c>
      <c r="F60" s="2">
        <v>43306</v>
      </c>
      <c r="G60" s="1" t="s">
        <v>172</v>
      </c>
      <c r="H60" t="str">
        <f>VLOOKUP($A60,Sheet1!$A$1:$E$31, 3, FALSE)</f>
        <v>info@ensafrica.com; rforster@ensafrica.com</v>
      </c>
      <c r="I60" s="17" t="s">
        <v>399</v>
      </c>
      <c r="J60" t="str">
        <f>VLOOKUP($A60,Sheet1!$A$1:$E$31, 5, FALSE)</f>
        <v>Mozambique</v>
      </c>
    </row>
    <row r="61" spans="1:10" ht="13.5">
      <c r="A61" s="1" t="s">
        <v>165</v>
      </c>
      <c r="B61" s="1" t="s">
        <v>8</v>
      </c>
      <c r="C61" s="1" t="s">
        <v>50</v>
      </c>
      <c r="D61" s="2">
        <v>44134</v>
      </c>
      <c r="E61" s="1" t="s">
        <v>171</v>
      </c>
      <c r="F61" s="2">
        <v>45642</v>
      </c>
      <c r="G61" s="1" t="s">
        <v>170</v>
      </c>
      <c r="H61" t="str">
        <f>VLOOKUP($A61,Sheet1!$A$1:$E$31, 3, FALSE)</f>
        <v>Khin Myo Myo Aye &lt;khinmyomyoaye@tilleke.com&gt;; mm.docketing@tilleke.com</v>
      </c>
      <c r="I61" s="17" t="s">
        <v>400</v>
      </c>
      <c r="J61" t="str">
        <f>VLOOKUP($A61,Sheet1!$A$1:$E$31, 5, FALSE)</f>
        <v>Myanmar (Burma)</v>
      </c>
    </row>
    <row r="62" spans="1:10" ht="13.5">
      <c r="A62" s="1" t="s">
        <v>165</v>
      </c>
      <c r="B62" s="1" t="s">
        <v>18</v>
      </c>
      <c r="C62" s="1" t="s">
        <v>50</v>
      </c>
      <c r="D62" s="2">
        <v>44134</v>
      </c>
      <c r="E62" s="1" t="s">
        <v>169</v>
      </c>
      <c r="F62" s="2">
        <v>45642</v>
      </c>
      <c r="G62" s="1" t="s">
        <v>168</v>
      </c>
      <c r="H62" t="str">
        <f>VLOOKUP($A62,Sheet1!$A$1:$E$31, 3, FALSE)</f>
        <v>Khin Myo Myo Aye &lt;khinmyomyoaye@tilleke.com&gt;; mm.docketing@tilleke.com</v>
      </c>
      <c r="I62" s="17" t="s">
        <v>401</v>
      </c>
      <c r="J62" t="str">
        <f>VLOOKUP($A62,Sheet1!$A$1:$E$31, 5, FALSE)</f>
        <v>Myanmar (Burma)</v>
      </c>
    </row>
    <row r="63" spans="1:10" ht="13.5">
      <c r="A63" s="1" t="s">
        <v>165</v>
      </c>
      <c r="B63" s="1" t="s">
        <v>288</v>
      </c>
      <c r="C63" s="1" t="s">
        <v>50</v>
      </c>
      <c r="D63" s="2">
        <v>44134</v>
      </c>
      <c r="E63" s="1" t="s">
        <v>167</v>
      </c>
      <c r="F63" s="2">
        <v>45642</v>
      </c>
      <c r="G63" s="1" t="s">
        <v>166</v>
      </c>
      <c r="H63" t="str">
        <f>VLOOKUP($A63,Sheet1!$A$1:$E$31, 3, FALSE)</f>
        <v>Khin Myo Myo Aye &lt;khinmyomyoaye@tilleke.com&gt;; mm.docketing@tilleke.com</v>
      </c>
      <c r="I63" s="17" t="s">
        <v>402</v>
      </c>
      <c r="J63" t="str">
        <f>VLOOKUP($A63,Sheet1!$A$1:$E$31, 5, FALSE)</f>
        <v>Myanmar (Burma)</v>
      </c>
    </row>
    <row r="64" spans="1:10" ht="13.5">
      <c r="A64" s="1" t="s">
        <v>165</v>
      </c>
      <c r="B64" s="1" t="s">
        <v>6</v>
      </c>
      <c r="C64" s="1" t="s">
        <v>50</v>
      </c>
      <c r="D64" s="2">
        <v>44134</v>
      </c>
      <c r="E64" s="1" t="s">
        <v>164</v>
      </c>
      <c r="F64" s="2">
        <v>45642</v>
      </c>
      <c r="G64" s="1" t="s">
        <v>163</v>
      </c>
      <c r="H64" t="str">
        <f>VLOOKUP($A64,Sheet1!$A$1:$E$31, 3, FALSE)</f>
        <v>Khin Myo Myo Aye &lt;khinmyomyoaye@tilleke.com&gt;; mm.docketing@tilleke.com</v>
      </c>
      <c r="I64" s="17" t="s">
        <v>403</v>
      </c>
      <c r="J64" t="str">
        <f>VLOOKUP($A64,Sheet1!$A$1:$E$31, 5, FALSE)</f>
        <v>Myanmar (Burma)</v>
      </c>
    </row>
    <row r="65" spans="1:10" ht="13.5">
      <c r="A65" s="1" t="s">
        <v>114</v>
      </c>
      <c r="B65" s="1" t="s">
        <v>162</v>
      </c>
      <c r="C65" s="1" t="s">
        <v>50</v>
      </c>
      <c r="D65" s="2">
        <v>45734</v>
      </c>
      <c r="E65" s="1" t="s">
        <v>161</v>
      </c>
      <c r="F65" s="1"/>
      <c r="G65" s="1" t="s">
        <v>29</v>
      </c>
      <c r="H65" t="str">
        <f>VLOOKUP($A65,Sheet1!$A$1:$E$31, 3, FALSE)</f>
        <v>Nguyen Thuy Hong' &lt;nt.hong@vision-associates.com&gt;; 'Nguyen Thi Thu Ha' &lt;ntt.ha1@vision-associates.com&gt;</v>
      </c>
      <c r="I65" s="17" t="s">
        <v>404</v>
      </c>
      <c r="J65" t="str">
        <f>VLOOKUP($A65,Sheet1!$A$1:$E$31, 5, FALSE)</f>
        <v>Vietnam</v>
      </c>
    </row>
    <row r="66" spans="1:10" ht="13.5">
      <c r="A66" s="1" t="s">
        <v>114</v>
      </c>
      <c r="B66" s="1" t="s">
        <v>160</v>
      </c>
      <c r="C66" s="1" t="s">
        <v>153</v>
      </c>
      <c r="D66" s="2">
        <v>45231</v>
      </c>
      <c r="E66" s="1" t="s">
        <v>159</v>
      </c>
      <c r="F66" s="1"/>
      <c r="G66" s="1" t="s">
        <v>29</v>
      </c>
      <c r="H66" t="str">
        <f>VLOOKUP($A66,Sheet1!$A$1:$E$31, 3, FALSE)</f>
        <v>Nguyen Thuy Hong' &lt;nt.hong@vision-associates.com&gt;; 'Nguyen Thi Thu Ha' &lt;ntt.ha1@vision-associates.com&gt;</v>
      </c>
      <c r="I66" s="17" t="s">
        <v>405</v>
      </c>
      <c r="J66" t="str">
        <f>VLOOKUP($A66,Sheet1!$A$1:$E$31, 5, FALSE)</f>
        <v>Vietnam</v>
      </c>
    </row>
    <row r="67" spans="1:10" ht="13.5">
      <c r="A67" s="1" t="s">
        <v>114</v>
      </c>
      <c r="B67" s="1" t="s">
        <v>158</v>
      </c>
      <c r="C67" s="1" t="s">
        <v>50</v>
      </c>
      <c r="D67" s="2">
        <v>45236</v>
      </c>
      <c r="E67" s="1" t="s">
        <v>157</v>
      </c>
      <c r="F67" s="1"/>
      <c r="G67" s="1" t="s">
        <v>29</v>
      </c>
      <c r="H67" t="str">
        <f>VLOOKUP($A67,Sheet1!$A$1:$E$31, 3, FALSE)</f>
        <v>Nguyen Thuy Hong' &lt;nt.hong@vision-associates.com&gt;; 'Nguyen Thi Thu Ha' &lt;ntt.ha1@vision-associates.com&gt;</v>
      </c>
      <c r="I67" s="17" t="s">
        <v>406</v>
      </c>
      <c r="J67" t="str">
        <f>VLOOKUP($A67,Sheet1!$A$1:$E$31, 5, FALSE)</f>
        <v>Vietnam</v>
      </c>
    </row>
    <row r="68" spans="1:10" ht="13.5">
      <c r="A68" s="1" t="s">
        <v>114</v>
      </c>
      <c r="B68" s="1" t="s">
        <v>156</v>
      </c>
      <c r="C68" s="1" t="s">
        <v>50</v>
      </c>
      <c r="D68" s="2">
        <v>45194</v>
      </c>
      <c r="E68" s="1" t="s">
        <v>155</v>
      </c>
      <c r="F68" s="1"/>
      <c r="G68" s="1" t="s">
        <v>29</v>
      </c>
      <c r="H68" t="str">
        <f>VLOOKUP($A68,Sheet1!$A$1:$E$31, 3, FALSE)</f>
        <v>Nguyen Thuy Hong' &lt;nt.hong@vision-associates.com&gt;; 'Nguyen Thi Thu Ha' &lt;ntt.ha1@vision-associates.com&gt;</v>
      </c>
      <c r="I68" s="17" t="s">
        <v>407</v>
      </c>
      <c r="J68" t="str">
        <f>VLOOKUP($A68,Sheet1!$A$1:$E$31, 5, FALSE)</f>
        <v>Vietnam</v>
      </c>
    </row>
    <row r="69" spans="1:10" ht="13.5">
      <c r="A69" s="1" t="s">
        <v>114</v>
      </c>
      <c r="B69" s="1" t="s">
        <v>154</v>
      </c>
      <c r="C69" s="1" t="s">
        <v>153</v>
      </c>
      <c r="D69" s="2">
        <v>45194</v>
      </c>
      <c r="E69" s="1" t="s">
        <v>152</v>
      </c>
      <c r="F69" s="1"/>
      <c r="G69" s="1" t="s">
        <v>29</v>
      </c>
      <c r="H69" t="str">
        <f>VLOOKUP($A69,Sheet1!$A$1:$E$31, 3, FALSE)</f>
        <v>Nguyen Thuy Hong' &lt;nt.hong@vision-associates.com&gt;; 'Nguyen Thi Thu Ha' &lt;ntt.ha1@vision-associates.com&gt;</v>
      </c>
      <c r="I69" s="17" t="s">
        <v>408</v>
      </c>
      <c r="J69" t="str">
        <f>VLOOKUP($A69,Sheet1!$A$1:$E$31, 5, FALSE)</f>
        <v>Vietnam</v>
      </c>
    </row>
    <row r="70" spans="1:10" ht="13.5">
      <c r="A70" s="1" t="s">
        <v>114</v>
      </c>
      <c r="B70" s="1" t="s">
        <v>151</v>
      </c>
      <c r="C70" s="1" t="s">
        <v>50</v>
      </c>
      <c r="D70" s="2">
        <v>45084</v>
      </c>
      <c r="E70" s="1" t="s">
        <v>150</v>
      </c>
      <c r="F70" s="1"/>
      <c r="G70" s="1" t="s">
        <v>29</v>
      </c>
      <c r="H70" t="str">
        <f>VLOOKUP($A70,Sheet1!$A$1:$E$31, 3, FALSE)</f>
        <v>Nguyen Thuy Hong' &lt;nt.hong@vision-associates.com&gt;; 'Nguyen Thi Thu Ha' &lt;ntt.ha1@vision-associates.com&gt;</v>
      </c>
      <c r="I70" s="17" t="s">
        <v>409</v>
      </c>
      <c r="J70" t="str">
        <f>VLOOKUP($A70,Sheet1!$A$1:$E$31, 5, FALSE)</f>
        <v>Vietnam</v>
      </c>
    </row>
    <row r="71" spans="1:10" ht="13.5">
      <c r="A71" s="1" t="s">
        <v>114</v>
      </c>
      <c r="B71" s="1" t="s">
        <v>149</v>
      </c>
      <c r="C71" s="1" t="s">
        <v>1</v>
      </c>
      <c r="D71" s="2">
        <v>41647</v>
      </c>
      <c r="E71" s="1" t="s">
        <v>148</v>
      </c>
      <c r="F71" s="2">
        <v>42138</v>
      </c>
      <c r="G71" s="1" t="s">
        <v>147</v>
      </c>
      <c r="H71" t="str">
        <f>VLOOKUP($A71,Sheet1!$A$1:$E$31, 3, FALSE)</f>
        <v>Nguyen Thuy Hong' &lt;nt.hong@vision-associates.com&gt;; 'Nguyen Thi Thu Ha' &lt;ntt.ha1@vision-associates.com&gt;</v>
      </c>
      <c r="I71" s="17" t="s">
        <v>410</v>
      </c>
      <c r="J71" t="str">
        <f>VLOOKUP($A71,Sheet1!$A$1:$E$31, 5, FALSE)</f>
        <v>Vietnam</v>
      </c>
    </row>
    <row r="72" spans="1:10" ht="13.5">
      <c r="A72" s="1" t="s">
        <v>114</v>
      </c>
      <c r="B72" s="1" t="s">
        <v>146</v>
      </c>
      <c r="C72" s="1" t="s">
        <v>1</v>
      </c>
      <c r="D72" s="2">
        <v>41179</v>
      </c>
      <c r="E72" s="1" t="s">
        <v>145</v>
      </c>
      <c r="F72" s="2">
        <v>41814</v>
      </c>
      <c r="G72" s="1" t="s">
        <v>144</v>
      </c>
      <c r="H72" t="str">
        <f>VLOOKUP($A72,Sheet1!$A$1:$E$31, 3, FALSE)</f>
        <v>Nguyen Thuy Hong' &lt;nt.hong@vision-associates.com&gt;; 'Nguyen Thi Thu Ha' &lt;ntt.ha1@vision-associates.com&gt;</v>
      </c>
      <c r="I72" s="17" t="s">
        <v>411</v>
      </c>
      <c r="J72" t="str">
        <f>VLOOKUP($A72,Sheet1!$A$1:$E$31, 5, FALSE)</f>
        <v>Vietnam</v>
      </c>
    </row>
    <row r="73" spans="1:10" ht="13.5">
      <c r="A73" s="1" t="s">
        <v>114</v>
      </c>
      <c r="B73" s="1" t="s">
        <v>143</v>
      </c>
      <c r="C73" s="1" t="s">
        <v>50</v>
      </c>
      <c r="D73" s="2">
        <v>42989</v>
      </c>
      <c r="E73" s="1" t="s">
        <v>142</v>
      </c>
      <c r="F73" s="2">
        <v>43868</v>
      </c>
      <c r="G73" s="1" t="s">
        <v>141</v>
      </c>
      <c r="H73" t="str">
        <f>VLOOKUP($A73,Sheet1!$A$1:$E$31, 3, FALSE)</f>
        <v>Nguyen Thuy Hong' &lt;nt.hong@vision-associates.com&gt;; 'Nguyen Thi Thu Ha' &lt;ntt.ha1@vision-associates.com&gt;</v>
      </c>
      <c r="I73" s="17" t="s">
        <v>412</v>
      </c>
      <c r="J73" t="str">
        <f>VLOOKUP($A73,Sheet1!$A$1:$E$31, 5, FALSE)</f>
        <v>Vietnam</v>
      </c>
    </row>
    <row r="74" spans="1:10" ht="13.5">
      <c r="A74" s="1" t="s">
        <v>114</v>
      </c>
      <c r="B74" s="1" t="s">
        <v>6</v>
      </c>
      <c r="C74" s="1" t="s">
        <v>140</v>
      </c>
      <c r="D74" s="2">
        <v>45194</v>
      </c>
      <c r="E74" s="1" t="s">
        <v>139</v>
      </c>
      <c r="F74" s="2">
        <v>45817</v>
      </c>
      <c r="G74" s="1" t="s">
        <v>138</v>
      </c>
      <c r="H74" t="str">
        <f>VLOOKUP($A74,Sheet1!$A$1:$E$31, 3, FALSE)</f>
        <v>Nguyen Thuy Hong' &lt;nt.hong@vision-associates.com&gt;; 'Nguyen Thi Thu Ha' &lt;ntt.ha1@vision-associates.com&gt;</v>
      </c>
      <c r="I74" s="17" t="s">
        <v>413</v>
      </c>
      <c r="J74" t="str">
        <f>VLOOKUP($A74,Sheet1!$A$1:$E$31, 5, FALSE)</f>
        <v>Vietnam</v>
      </c>
    </row>
    <row r="75" spans="1:10" ht="13.5">
      <c r="A75" s="1" t="s">
        <v>114</v>
      </c>
      <c r="B75" s="1" t="s">
        <v>137</v>
      </c>
      <c r="C75" s="1" t="s">
        <v>50</v>
      </c>
      <c r="D75" s="2">
        <v>44174</v>
      </c>
      <c r="E75" s="1" t="s">
        <v>136</v>
      </c>
      <c r="F75" s="2">
        <v>45044</v>
      </c>
      <c r="G75" s="1" t="s">
        <v>135</v>
      </c>
      <c r="H75" t="str">
        <f>VLOOKUP($A75,Sheet1!$A$1:$E$31, 3, FALSE)</f>
        <v>Nguyen Thuy Hong' &lt;nt.hong@vision-associates.com&gt;; 'Nguyen Thi Thu Ha' &lt;ntt.ha1@vision-associates.com&gt;</v>
      </c>
      <c r="I75" s="17" t="s">
        <v>414</v>
      </c>
      <c r="J75" t="str">
        <f>VLOOKUP($A75,Sheet1!$A$1:$E$31, 5, FALSE)</f>
        <v>Vietnam</v>
      </c>
    </row>
    <row r="76" spans="1:10" ht="13.5">
      <c r="A76" s="1" t="s">
        <v>114</v>
      </c>
      <c r="B76" s="1" t="s">
        <v>134</v>
      </c>
      <c r="C76" s="1" t="s">
        <v>1</v>
      </c>
      <c r="D76" s="2">
        <v>44075</v>
      </c>
      <c r="E76" s="1" t="s">
        <v>133</v>
      </c>
      <c r="F76" s="2">
        <v>44784</v>
      </c>
      <c r="G76" s="1" t="s">
        <v>132</v>
      </c>
      <c r="H76" t="str">
        <f>VLOOKUP($A76,Sheet1!$A$1:$E$31, 3, FALSE)</f>
        <v>Nguyen Thuy Hong' &lt;nt.hong@vision-associates.com&gt;; 'Nguyen Thi Thu Ha' &lt;ntt.ha1@vision-associates.com&gt;</v>
      </c>
      <c r="I76" s="17" t="s">
        <v>415</v>
      </c>
      <c r="J76" t="str">
        <f>VLOOKUP($A76,Sheet1!$A$1:$E$31, 5, FALSE)</f>
        <v>Vietnam</v>
      </c>
    </row>
    <row r="77" spans="1:10" ht="13.5">
      <c r="A77" s="1" t="s">
        <v>114</v>
      </c>
      <c r="B77" s="1" t="s">
        <v>285</v>
      </c>
      <c r="C77" s="1" t="s">
        <v>1</v>
      </c>
      <c r="D77" s="2">
        <v>44063</v>
      </c>
      <c r="E77" s="1" t="s">
        <v>131</v>
      </c>
      <c r="F77" s="2">
        <v>44756</v>
      </c>
      <c r="G77" s="1" t="s">
        <v>130</v>
      </c>
      <c r="H77" t="str">
        <f>VLOOKUP($A77,Sheet1!$A$1:$E$31, 3, FALSE)</f>
        <v>Nguyen Thuy Hong' &lt;nt.hong@vision-associates.com&gt;; 'Nguyen Thi Thu Ha' &lt;ntt.ha1@vision-associates.com&gt;</v>
      </c>
      <c r="I77" s="17" t="s">
        <v>416</v>
      </c>
      <c r="J77" t="str">
        <f>VLOOKUP($A77,Sheet1!$A$1:$E$31, 5, FALSE)</f>
        <v>Vietnam</v>
      </c>
    </row>
    <row r="78" spans="1:10" ht="13.5">
      <c r="A78" s="1" t="s">
        <v>114</v>
      </c>
      <c r="B78" s="1" t="s">
        <v>289</v>
      </c>
      <c r="C78" s="1" t="s">
        <v>129</v>
      </c>
      <c r="D78" s="2">
        <v>43588</v>
      </c>
      <c r="E78" s="1" t="s">
        <v>128</v>
      </c>
      <c r="F78" s="2">
        <v>44369</v>
      </c>
      <c r="G78" s="1" t="s">
        <v>127</v>
      </c>
      <c r="H78" t="str">
        <f>VLOOKUP($A78,Sheet1!$A$1:$E$31, 3, FALSE)</f>
        <v>Nguyen Thuy Hong' &lt;nt.hong@vision-associates.com&gt;; 'Nguyen Thi Thu Ha' &lt;ntt.ha1@vision-associates.com&gt;</v>
      </c>
      <c r="I78" s="17" t="s">
        <v>417</v>
      </c>
      <c r="J78" t="str">
        <f>VLOOKUP($A78,Sheet1!$A$1:$E$31, 5, FALSE)</f>
        <v>Vietnam</v>
      </c>
    </row>
    <row r="79" spans="1:10" ht="13.5">
      <c r="A79" s="1" t="s">
        <v>114</v>
      </c>
      <c r="B79" s="1" t="s">
        <v>14</v>
      </c>
      <c r="C79" s="1" t="s">
        <v>1</v>
      </c>
      <c r="D79" s="2">
        <v>43581</v>
      </c>
      <c r="E79" s="1" t="s">
        <v>126</v>
      </c>
      <c r="F79" s="2">
        <v>44386</v>
      </c>
      <c r="G79" s="1" t="s">
        <v>125</v>
      </c>
      <c r="H79" t="str">
        <f>VLOOKUP($A79,Sheet1!$A$1:$E$31, 3, FALSE)</f>
        <v>Nguyen Thuy Hong' &lt;nt.hong@vision-associates.com&gt;; 'Nguyen Thi Thu Ha' &lt;ntt.ha1@vision-associates.com&gt;</v>
      </c>
      <c r="I79" s="17" t="s">
        <v>418</v>
      </c>
      <c r="J79" t="str">
        <f>VLOOKUP($A79,Sheet1!$A$1:$E$31, 5, FALSE)</f>
        <v>Vietnam</v>
      </c>
    </row>
    <row r="80" spans="1:10" ht="13.5">
      <c r="A80" s="1" t="s">
        <v>114</v>
      </c>
      <c r="B80" s="1" t="s">
        <v>113</v>
      </c>
      <c r="C80" s="1" t="s">
        <v>124</v>
      </c>
      <c r="D80" s="2">
        <v>42480</v>
      </c>
      <c r="E80" s="1" t="s">
        <v>123</v>
      </c>
      <c r="F80" s="2">
        <v>43430</v>
      </c>
      <c r="G80" s="1" t="s">
        <v>122</v>
      </c>
      <c r="H80" t="str">
        <f>VLOOKUP($A80,Sheet1!$A$1:$E$31, 3, FALSE)</f>
        <v>Nguyen Thuy Hong' &lt;nt.hong@vision-associates.com&gt;; 'Nguyen Thi Thu Ha' &lt;ntt.ha1@vision-associates.com&gt;</v>
      </c>
      <c r="I80" s="17" t="s">
        <v>419</v>
      </c>
      <c r="J80" t="str">
        <f>VLOOKUP($A80,Sheet1!$A$1:$E$31, 5, FALSE)</f>
        <v>Vietnam</v>
      </c>
    </row>
    <row r="81" spans="1:10" ht="13.5">
      <c r="A81" s="1" t="s">
        <v>114</v>
      </c>
      <c r="B81" s="1" t="s">
        <v>18</v>
      </c>
      <c r="C81" s="1" t="s">
        <v>1</v>
      </c>
      <c r="D81" s="2">
        <v>42534</v>
      </c>
      <c r="E81" s="1" t="s">
        <v>121</v>
      </c>
      <c r="F81" s="2">
        <v>43672</v>
      </c>
      <c r="G81" s="1" t="s">
        <v>120</v>
      </c>
      <c r="H81" t="str">
        <f>VLOOKUP($A81,Sheet1!$A$1:$E$31, 3, FALSE)</f>
        <v>Nguyen Thuy Hong' &lt;nt.hong@vision-associates.com&gt;; 'Nguyen Thi Thu Ha' &lt;ntt.ha1@vision-associates.com&gt;</v>
      </c>
      <c r="I81" s="17" t="s">
        <v>420</v>
      </c>
      <c r="J81" t="str">
        <f>VLOOKUP($A81,Sheet1!$A$1:$E$31, 5, FALSE)</f>
        <v>Vietnam</v>
      </c>
    </row>
    <row r="82" spans="1:10" ht="13.5">
      <c r="A82" s="1" t="s">
        <v>114</v>
      </c>
      <c r="B82" s="1" t="s">
        <v>6</v>
      </c>
      <c r="C82" s="1" t="s">
        <v>1</v>
      </c>
      <c r="D82" s="2">
        <v>35132</v>
      </c>
      <c r="E82" s="1" t="s">
        <v>119</v>
      </c>
      <c r="F82" s="2">
        <v>38603</v>
      </c>
      <c r="G82" s="1" t="s">
        <v>118</v>
      </c>
      <c r="H82" t="str">
        <f>VLOOKUP($A82,Sheet1!$A$1:$E$31, 3, FALSE)</f>
        <v>Nguyen Thuy Hong' &lt;nt.hong@vision-associates.com&gt;; 'Nguyen Thi Thu Ha' &lt;ntt.ha1@vision-associates.com&gt;</v>
      </c>
      <c r="I82" s="17" t="s">
        <v>421</v>
      </c>
      <c r="J82" t="str">
        <f>VLOOKUP($A82,Sheet1!$A$1:$E$31, 5, FALSE)</f>
        <v>Vietnam</v>
      </c>
    </row>
    <row r="83" spans="1:10" ht="13.5">
      <c r="A83" s="1" t="s">
        <v>114</v>
      </c>
      <c r="B83" s="1" t="s">
        <v>117</v>
      </c>
      <c r="C83" s="1" t="s">
        <v>1</v>
      </c>
      <c r="D83" s="2">
        <v>42360</v>
      </c>
      <c r="E83" s="1" t="s">
        <v>116</v>
      </c>
      <c r="F83" s="2">
        <v>43073</v>
      </c>
      <c r="G83" s="1" t="s">
        <v>115</v>
      </c>
      <c r="H83" t="str">
        <f>VLOOKUP($A83,Sheet1!$A$1:$E$31, 3, FALSE)</f>
        <v>Nguyen Thuy Hong' &lt;nt.hong@vision-associates.com&gt;; 'Nguyen Thi Thu Ha' &lt;ntt.ha1@vision-associates.com&gt;</v>
      </c>
      <c r="I83" s="17" t="s">
        <v>422</v>
      </c>
      <c r="J83" t="str">
        <f>VLOOKUP($A83,Sheet1!$A$1:$E$31, 5, FALSE)</f>
        <v>Vietnam</v>
      </c>
    </row>
    <row r="84" spans="1:10" ht="13.5">
      <c r="A84" s="1" t="s">
        <v>114</v>
      </c>
      <c r="B84" s="1" t="s">
        <v>113</v>
      </c>
      <c r="C84" s="1" t="s">
        <v>5</v>
      </c>
      <c r="D84" s="2">
        <v>42480</v>
      </c>
      <c r="E84" s="1" t="s">
        <v>112</v>
      </c>
      <c r="F84" s="2">
        <v>43154</v>
      </c>
      <c r="G84" s="1" t="s">
        <v>111</v>
      </c>
      <c r="H84" t="str">
        <f>VLOOKUP($A84,Sheet1!$A$1:$E$31, 3, FALSE)</f>
        <v>Nguyen Thuy Hong' &lt;nt.hong@vision-associates.com&gt;; 'Nguyen Thi Thu Ha' &lt;ntt.ha1@vision-associates.com&gt;</v>
      </c>
      <c r="I84" s="17" t="s">
        <v>423</v>
      </c>
      <c r="J84" t="str">
        <f>VLOOKUP($A84,Sheet1!$A$1:$E$31, 5, FALSE)</f>
        <v>Vietnam</v>
      </c>
    </row>
    <row r="85" spans="1:10" ht="13.5">
      <c r="A85" s="1" t="s">
        <v>108</v>
      </c>
      <c r="B85" s="1" t="s">
        <v>59</v>
      </c>
      <c r="C85" s="1" t="s">
        <v>50</v>
      </c>
      <c r="D85" s="2">
        <v>44935</v>
      </c>
      <c r="E85" s="1" t="s">
        <v>110</v>
      </c>
      <c r="F85" s="1"/>
      <c r="G85" s="1" t="s">
        <v>29</v>
      </c>
      <c r="H85" t="str">
        <f>VLOOKUP($A85,Sheet1!$A$1:$E$31, 3, FALSE)</f>
        <v>info@ensafrica.com; rforster@ensafrica.com</v>
      </c>
      <c r="I85" s="17" t="s">
        <v>424</v>
      </c>
      <c r="J85" t="str">
        <f>VLOOKUP($A85,Sheet1!$A$1:$E$31, 5, FALSE)</f>
        <v>Botswana</v>
      </c>
    </row>
    <row r="86" spans="1:10" ht="13.5">
      <c r="A86" s="1" t="s">
        <v>108</v>
      </c>
      <c r="B86" s="1" t="s">
        <v>18</v>
      </c>
      <c r="C86" s="1" t="s">
        <v>50</v>
      </c>
      <c r="D86" s="2">
        <v>44935</v>
      </c>
      <c r="E86" s="1" t="s">
        <v>109</v>
      </c>
      <c r="F86" s="2">
        <v>45225</v>
      </c>
      <c r="G86" s="1" t="s">
        <v>109</v>
      </c>
      <c r="H86" t="str">
        <f>VLOOKUP($A86,Sheet1!$A$1:$E$31, 3, FALSE)</f>
        <v>info@ensafrica.com; rforster@ensafrica.com</v>
      </c>
      <c r="I86" s="17" t="s">
        <v>425</v>
      </c>
      <c r="J86" t="str">
        <f>VLOOKUP($A86,Sheet1!$A$1:$E$31, 5, FALSE)</f>
        <v>Botswana</v>
      </c>
    </row>
    <row r="87" spans="1:10" ht="13.5">
      <c r="A87" s="1" t="s">
        <v>108</v>
      </c>
      <c r="B87" s="1" t="s">
        <v>8</v>
      </c>
      <c r="C87" s="1" t="s">
        <v>50</v>
      </c>
      <c r="D87" s="2">
        <v>44935</v>
      </c>
      <c r="E87" s="1" t="s">
        <v>107</v>
      </c>
      <c r="F87" s="2">
        <v>45225</v>
      </c>
      <c r="G87" s="1" t="s">
        <v>107</v>
      </c>
      <c r="H87" t="str">
        <f>VLOOKUP($A87,Sheet1!$A$1:$E$31, 3, FALSE)</f>
        <v>info@ensafrica.com; rforster@ensafrica.com</v>
      </c>
      <c r="I87" s="17" t="s">
        <v>426</v>
      </c>
      <c r="J87" t="str">
        <f>VLOOKUP($A87,Sheet1!$A$1:$E$31, 5, FALSE)</f>
        <v>Botswana</v>
      </c>
    </row>
    <row r="88" spans="1:10" ht="13.5">
      <c r="A88" s="1" t="s">
        <v>98</v>
      </c>
      <c r="B88" s="1" t="s">
        <v>18</v>
      </c>
      <c r="C88" s="1" t="s">
        <v>50</v>
      </c>
      <c r="D88" s="2">
        <v>45066</v>
      </c>
      <c r="E88" s="1" t="s">
        <v>106</v>
      </c>
      <c r="F88" s="2">
        <v>45167</v>
      </c>
      <c r="G88" s="1" t="s">
        <v>105</v>
      </c>
      <c r="H88" t="str">
        <f>VLOOKUP($A88,Sheet1!$A$1:$E$31, 3, FALSE)</f>
        <v>'Claire Smedley' &lt;csmedley@vonseidels.com&gt;; 'Chandré Arendse' &lt;cbarendse@vonseidels.com&gt;; poliver@vonseidels.com</v>
      </c>
      <c r="I88" s="17" t="s">
        <v>427</v>
      </c>
      <c r="J88" t="str">
        <f>VLOOKUP($A88,Sheet1!$A$1:$E$31, 5, FALSE)</f>
        <v>Somalia</v>
      </c>
    </row>
    <row r="89" spans="1:10" ht="13.5">
      <c r="A89" s="1" t="s">
        <v>98</v>
      </c>
      <c r="B89" s="1" t="s">
        <v>8</v>
      </c>
      <c r="C89" s="1" t="s">
        <v>50</v>
      </c>
      <c r="D89" s="2">
        <v>44359</v>
      </c>
      <c r="E89" s="1" t="s">
        <v>104</v>
      </c>
      <c r="F89" s="2">
        <v>44691</v>
      </c>
      <c r="G89" s="1" t="s">
        <v>103</v>
      </c>
      <c r="H89" t="str">
        <f>VLOOKUP($A89,Sheet1!$A$1:$E$31, 3, FALSE)</f>
        <v>'Claire Smedley' &lt;csmedley@vonseidels.com&gt;; 'Chandré Arendse' &lt;cbarendse@vonseidels.com&gt;; poliver@vonseidels.com</v>
      </c>
      <c r="I89" s="17" t="s">
        <v>428</v>
      </c>
      <c r="J89" t="str">
        <f>VLOOKUP($A89,Sheet1!$A$1:$E$31, 5, FALSE)</f>
        <v>Somalia</v>
      </c>
    </row>
    <row r="90" spans="1:10" ht="13.5">
      <c r="A90" s="1" t="s">
        <v>98</v>
      </c>
      <c r="B90" s="1" t="s">
        <v>6</v>
      </c>
      <c r="C90" s="1" t="s">
        <v>50</v>
      </c>
      <c r="D90" s="2">
        <v>44359</v>
      </c>
      <c r="E90" s="1" t="s">
        <v>102</v>
      </c>
      <c r="F90" s="2">
        <v>44691</v>
      </c>
      <c r="G90" s="1" t="s">
        <v>101</v>
      </c>
      <c r="H90" t="str">
        <f>VLOOKUP($A90,Sheet1!$A$1:$E$31, 3, FALSE)</f>
        <v>'Claire Smedley' &lt;csmedley@vonseidels.com&gt;; 'Chandré Arendse' &lt;cbarendse@vonseidels.com&gt;; poliver@vonseidels.com</v>
      </c>
      <c r="I90" s="17" t="s">
        <v>429</v>
      </c>
      <c r="J90" t="str">
        <f>VLOOKUP($A90,Sheet1!$A$1:$E$31, 5, FALSE)</f>
        <v>Somalia</v>
      </c>
    </row>
    <row r="91" spans="1:10" ht="13.5">
      <c r="A91" s="1" t="s">
        <v>98</v>
      </c>
      <c r="B91" s="1" t="s">
        <v>285</v>
      </c>
      <c r="C91" s="1" t="s">
        <v>50</v>
      </c>
      <c r="D91" s="2">
        <v>44359</v>
      </c>
      <c r="E91" s="1" t="s">
        <v>100</v>
      </c>
      <c r="F91" s="2">
        <v>44359</v>
      </c>
      <c r="G91" s="1" t="s">
        <v>99</v>
      </c>
      <c r="H91" t="str">
        <f>VLOOKUP($A91,Sheet1!$A$1:$E$31, 3, FALSE)</f>
        <v>'Claire Smedley' &lt;csmedley@vonseidels.com&gt;; 'Chandré Arendse' &lt;cbarendse@vonseidels.com&gt;; poliver@vonseidels.com</v>
      </c>
      <c r="I91" s="17" t="s">
        <v>430</v>
      </c>
      <c r="J91" t="str">
        <f>VLOOKUP($A91,Sheet1!$A$1:$E$31, 5, FALSE)</f>
        <v>Somalia</v>
      </c>
    </row>
    <row r="92" spans="1:10" ht="13.5">
      <c r="A92" s="1" t="s">
        <v>98</v>
      </c>
      <c r="B92" s="1" t="s">
        <v>286</v>
      </c>
      <c r="C92" s="1" t="s">
        <v>1</v>
      </c>
      <c r="D92" s="2">
        <v>44359</v>
      </c>
      <c r="E92" s="1" t="s">
        <v>97</v>
      </c>
      <c r="F92" s="2">
        <v>44359</v>
      </c>
      <c r="G92" s="1" t="s">
        <v>96</v>
      </c>
      <c r="H92" t="str">
        <f>VLOOKUP($A92,Sheet1!$A$1:$E$31, 3, FALSE)</f>
        <v>'Claire Smedley' &lt;csmedley@vonseidels.com&gt;; 'Chandré Arendse' &lt;cbarendse@vonseidels.com&gt;; poliver@vonseidels.com</v>
      </c>
      <c r="I92" s="17" t="s">
        <v>431</v>
      </c>
      <c r="J92" t="str">
        <f>VLOOKUP($A92,Sheet1!$A$1:$E$31, 5, FALSE)</f>
        <v>Somalia</v>
      </c>
    </row>
    <row r="93" spans="1:10" ht="13.5">
      <c r="A93" s="1" t="s">
        <v>95</v>
      </c>
      <c r="B93" s="1" t="s">
        <v>18</v>
      </c>
      <c r="C93" s="1" t="s">
        <v>1</v>
      </c>
      <c r="D93" s="2">
        <v>43244</v>
      </c>
      <c r="E93" s="1" t="s">
        <v>94</v>
      </c>
      <c r="F93" s="2">
        <v>44192</v>
      </c>
      <c r="G93" s="1" t="s">
        <v>94</v>
      </c>
      <c r="H93" t="str">
        <f>VLOOKUP($A93,Sheet1!$A$1:$E$31, 3, FALSE)</f>
        <v>'Claire Smedley' &lt;csmedley@vonseidels.com&gt;; 'Chandré Arendse' &lt;cbarendse@vonseidels.com&gt;; poliver@vonseidels.com</v>
      </c>
      <c r="I93" s="17" t="s">
        <v>432</v>
      </c>
      <c r="J93" t="str">
        <f>VLOOKUP($A93,Sheet1!$A$1:$E$31, 5, FALSE)</f>
        <v>Sudan</v>
      </c>
    </row>
    <row r="94" spans="1:10" ht="13.5">
      <c r="A94" s="1" t="s">
        <v>79</v>
      </c>
      <c r="B94" s="1" t="s">
        <v>8</v>
      </c>
      <c r="C94" s="1" t="s">
        <v>1</v>
      </c>
      <c r="D94" s="2">
        <v>43473</v>
      </c>
      <c r="E94" s="1" t="s">
        <v>93</v>
      </c>
      <c r="F94" s="1"/>
      <c r="G94" s="1" t="s">
        <v>29</v>
      </c>
      <c r="H94" t="str">
        <f>VLOOKUP($A94,Sheet1!$A$1:$E$31, 3, FALSE)</f>
        <v>Claire Smedley &lt;csmedley@vonseidels.com&gt;; Chandré Arendse &lt;cbarendse@vonseidels.com&gt;; Pearlen Oliver &lt;poliver@vonseidels.com&gt;</v>
      </c>
      <c r="I94" s="17" t="s">
        <v>433</v>
      </c>
      <c r="J94" t="str">
        <f>VLOOKUP($A94,Sheet1!$A$1:$E$31, 5, FALSE)</f>
        <v>Angola</v>
      </c>
    </row>
    <row r="95" spans="1:10" ht="13.5">
      <c r="A95" s="1" t="s">
        <v>79</v>
      </c>
      <c r="B95" s="1" t="s">
        <v>12</v>
      </c>
      <c r="C95" s="1" t="s">
        <v>1</v>
      </c>
      <c r="D95" s="2">
        <v>41746</v>
      </c>
      <c r="E95" s="1" t="s">
        <v>92</v>
      </c>
      <c r="F95" s="2">
        <v>41746</v>
      </c>
      <c r="G95" s="1" t="s">
        <v>92</v>
      </c>
      <c r="H95" t="str">
        <f>VLOOKUP($A95,Sheet1!$A$1:$E$31, 3, FALSE)</f>
        <v>Claire Smedley &lt;csmedley@vonseidels.com&gt;; Chandré Arendse &lt;cbarendse@vonseidels.com&gt;; Pearlen Oliver &lt;poliver@vonseidels.com&gt;</v>
      </c>
      <c r="I95" s="17" t="s">
        <v>434</v>
      </c>
      <c r="J95" t="str">
        <f>VLOOKUP($A95,Sheet1!$A$1:$E$31, 5, FALSE)</f>
        <v>Angola</v>
      </c>
    </row>
    <row r="96" spans="1:10" ht="13.5">
      <c r="A96" s="1" t="s">
        <v>79</v>
      </c>
      <c r="B96" s="1" t="s">
        <v>6</v>
      </c>
      <c r="C96" s="1" t="s">
        <v>1</v>
      </c>
      <c r="D96" s="2">
        <v>40835</v>
      </c>
      <c r="E96" s="1" t="s">
        <v>91</v>
      </c>
      <c r="F96" s="2">
        <v>43215</v>
      </c>
      <c r="G96" s="1" t="s">
        <v>91</v>
      </c>
      <c r="H96" t="str">
        <f>VLOOKUP($A96,Sheet1!$A$1:$E$31, 3, FALSE)</f>
        <v>Claire Smedley &lt;csmedley@vonseidels.com&gt;; Chandré Arendse &lt;cbarendse@vonseidels.com&gt;; Pearlen Oliver &lt;poliver@vonseidels.com&gt;</v>
      </c>
      <c r="I96" s="17" t="s">
        <v>435</v>
      </c>
      <c r="J96" t="str">
        <f>VLOOKUP($A96,Sheet1!$A$1:$E$31, 5, FALSE)</f>
        <v>Angola</v>
      </c>
    </row>
    <row r="97" spans="1:10" ht="13.5">
      <c r="A97" s="1" t="s">
        <v>79</v>
      </c>
      <c r="B97" s="1" t="s">
        <v>90</v>
      </c>
      <c r="C97" s="1" t="s">
        <v>1</v>
      </c>
      <c r="D97" s="2">
        <v>41425</v>
      </c>
      <c r="E97" s="1" t="s">
        <v>89</v>
      </c>
      <c r="F97" s="2">
        <v>41425</v>
      </c>
      <c r="G97" s="1" t="s">
        <v>89</v>
      </c>
      <c r="H97" t="str">
        <f>VLOOKUP($A97,Sheet1!$A$1:$E$31, 3, FALSE)</f>
        <v>Claire Smedley &lt;csmedley@vonseidels.com&gt;; Chandré Arendse &lt;cbarendse@vonseidels.com&gt;; Pearlen Oliver &lt;poliver@vonseidels.com&gt;</v>
      </c>
      <c r="I97" s="17" t="s">
        <v>436</v>
      </c>
      <c r="J97" t="str">
        <f>VLOOKUP($A97,Sheet1!$A$1:$E$31, 5, FALSE)</f>
        <v>Angola</v>
      </c>
    </row>
    <row r="98" spans="1:10" ht="13.5">
      <c r="A98" s="1" t="s">
        <v>79</v>
      </c>
      <c r="B98" s="1" t="s">
        <v>88</v>
      </c>
      <c r="C98" s="1" t="s">
        <v>1</v>
      </c>
      <c r="D98" s="2">
        <v>41425</v>
      </c>
      <c r="E98" s="1" t="s">
        <v>87</v>
      </c>
      <c r="F98" s="2">
        <v>41425</v>
      </c>
      <c r="G98" s="1" t="s">
        <v>87</v>
      </c>
      <c r="H98" t="str">
        <f>VLOOKUP($A98,Sheet1!$A$1:$E$31, 3, FALSE)</f>
        <v>Claire Smedley &lt;csmedley@vonseidels.com&gt;; Chandré Arendse &lt;cbarendse@vonseidels.com&gt;; Pearlen Oliver &lt;poliver@vonseidels.com&gt;</v>
      </c>
      <c r="I98" s="17" t="s">
        <v>437</v>
      </c>
      <c r="J98" t="str">
        <f>VLOOKUP($A98,Sheet1!$A$1:$E$31, 5, FALSE)</f>
        <v>Angola</v>
      </c>
    </row>
    <row r="99" spans="1:10" ht="27">
      <c r="A99" s="1" t="s">
        <v>79</v>
      </c>
      <c r="B99" s="1" t="s">
        <v>86</v>
      </c>
      <c r="C99" s="1" t="s">
        <v>1</v>
      </c>
      <c r="D99" s="2">
        <v>41425</v>
      </c>
      <c r="E99" s="1" t="s">
        <v>85</v>
      </c>
      <c r="F99" s="2">
        <v>41425</v>
      </c>
      <c r="G99" s="1" t="s">
        <v>85</v>
      </c>
      <c r="H99" t="str">
        <f>VLOOKUP($A99,Sheet1!$A$1:$E$31, 3, FALSE)</f>
        <v>Claire Smedley &lt;csmedley@vonseidels.com&gt;; Chandré Arendse &lt;cbarendse@vonseidels.com&gt;; Pearlen Oliver &lt;poliver@vonseidels.com&gt;</v>
      </c>
      <c r="I99" s="17" t="s">
        <v>438</v>
      </c>
      <c r="J99" t="str">
        <f>VLOOKUP($A99,Sheet1!$A$1:$E$31, 5, FALSE)</f>
        <v>Angola</v>
      </c>
    </row>
    <row r="100" spans="1:10" ht="13.5">
      <c r="A100" s="1" t="s">
        <v>79</v>
      </c>
      <c r="B100" s="1" t="s">
        <v>291</v>
      </c>
      <c r="C100" s="1" t="s">
        <v>50</v>
      </c>
      <c r="D100" s="2">
        <v>44245</v>
      </c>
      <c r="E100" s="1" t="s">
        <v>84</v>
      </c>
      <c r="F100" s="2">
        <v>44245</v>
      </c>
      <c r="G100" s="1" t="s">
        <v>84</v>
      </c>
      <c r="H100" t="str">
        <f>VLOOKUP($A100,Sheet1!$A$1:$E$31, 3, FALSE)</f>
        <v>Claire Smedley &lt;csmedley@vonseidels.com&gt;; Chandré Arendse &lt;cbarendse@vonseidels.com&gt;; Pearlen Oliver &lt;poliver@vonseidels.com&gt;</v>
      </c>
      <c r="I100" s="17" t="s">
        <v>439</v>
      </c>
      <c r="J100" t="str">
        <f>VLOOKUP($A100,Sheet1!$A$1:$E$31, 5, FALSE)</f>
        <v>Angola</v>
      </c>
    </row>
    <row r="101" spans="1:10" ht="13.5">
      <c r="A101" s="1" t="s">
        <v>79</v>
      </c>
      <c r="B101" s="1" t="s">
        <v>290</v>
      </c>
      <c r="C101" s="1" t="s">
        <v>50</v>
      </c>
      <c r="D101" s="2">
        <v>44245</v>
      </c>
      <c r="E101" s="1" t="s">
        <v>83</v>
      </c>
      <c r="F101" s="2">
        <v>44245</v>
      </c>
      <c r="G101" s="1" t="s">
        <v>83</v>
      </c>
      <c r="H101" t="str">
        <f>VLOOKUP($A101,Sheet1!$A$1:$E$31, 3, FALSE)</f>
        <v>Claire Smedley &lt;csmedley@vonseidels.com&gt;; Chandré Arendse &lt;cbarendse@vonseidels.com&gt;; Pearlen Oliver &lt;poliver@vonseidels.com&gt;</v>
      </c>
      <c r="I101" s="17" t="s">
        <v>440</v>
      </c>
      <c r="J101" t="str">
        <f>VLOOKUP($A101,Sheet1!$A$1:$E$31, 5, FALSE)</f>
        <v>Angola</v>
      </c>
    </row>
    <row r="102" spans="1:10" ht="13.5">
      <c r="A102" s="1" t="s">
        <v>79</v>
      </c>
      <c r="B102" s="1" t="s">
        <v>287</v>
      </c>
      <c r="C102" s="3" t="s">
        <v>29</v>
      </c>
      <c r="D102" s="2">
        <v>44245</v>
      </c>
      <c r="E102" s="1" t="s">
        <v>82</v>
      </c>
      <c r="F102" s="2">
        <v>44245</v>
      </c>
      <c r="G102" s="1" t="s">
        <v>82</v>
      </c>
      <c r="H102" t="str">
        <f>VLOOKUP($A102,Sheet1!$A$1:$E$31, 3, FALSE)</f>
        <v>Claire Smedley &lt;csmedley@vonseidels.com&gt;; Chandré Arendse &lt;cbarendse@vonseidels.com&gt;; Pearlen Oliver &lt;poliver@vonseidels.com&gt;</v>
      </c>
      <c r="I102" s="17" t="s">
        <v>441</v>
      </c>
      <c r="J102" t="str">
        <f>VLOOKUP($A102,Sheet1!$A$1:$E$31, 5, FALSE)</f>
        <v>Angola</v>
      </c>
    </row>
    <row r="103" spans="1:10" ht="13.5">
      <c r="A103" s="1" t="s">
        <v>79</v>
      </c>
      <c r="B103" s="1" t="s">
        <v>292</v>
      </c>
      <c r="C103" s="1" t="s">
        <v>50</v>
      </c>
      <c r="D103" s="2">
        <v>44245</v>
      </c>
      <c r="E103" s="1" t="s">
        <v>81</v>
      </c>
      <c r="F103" s="2">
        <v>44245</v>
      </c>
      <c r="G103" s="1" t="s">
        <v>81</v>
      </c>
      <c r="H103" t="str">
        <f>VLOOKUP($A103,Sheet1!$A$1:$E$31, 3, FALSE)</f>
        <v>Claire Smedley &lt;csmedley@vonseidels.com&gt;; Chandré Arendse &lt;cbarendse@vonseidels.com&gt;; Pearlen Oliver &lt;poliver@vonseidels.com&gt;</v>
      </c>
      <c r="I103" s="17" t="s">
        <v>442</v>
      </c>
      <c r="J103" t="str">
        <f>VLOOKUP($A103,Sheet1!$A$1:$E$31, 5, FALSE)</f>
        <v>Angola</v>
      </c>
    </row>
    <row r="104" spans="1:10" ht="13.5">
      <c r="A104" s="1" t="s">
        <v>79</v>
      </c>
      <c r="B104" s="1" t="s">
        <v>33</v>
      </c>
      <c r="C104" s="1" t="s">
        <v>1</v>
      </c>
      <c r="D104" s="2">
        <v>43496</v>
      </c>
      <c r="E104" s="1" t="s">
        <v>80</v>
      </c>
      <c r="F104" s="2">
        <v>43496</v>
      </c>
      <c r="G104" s="1" t="s">
        <v>80</v>
      </c>
      <c r="H104" t="str">
        <f>VLOOKUP($A104,Sheet1!$A$1:$E$31, 3, FALSE)</f>
        <v>Claire Smedley &lt;csmedley@vonseidels.com&gt;; Chandré Arendse &lt;cbarendse@vonseidels.com&gt;; Pearlen Oliver &lt;poliver@vonseidels.com&gt;</v>
      </c>
      <c r="I104" s="17" t="s">
        <v>443</v>
      </c>
      <c r="J104" t="str">
        <f>VLOOKUP($A104,Sheet1!$A$1:$E$31, 5, FALSE)</f>
        <v>Angola</v>
      </c>
    </row>
    <row r="105" spans="1:10" ht="13.5">
      <c r="A105" s="1" t="s">
        <v>79</v>
      </c>
      <c r="B105" s="1" t="s">
        <v>288</v>
      </c>
      <c r="C105" s="1" t="s">
        <v>1</v>
      </c>
      <c r="D105" s="2">
        <v>41311</v>
      </c>
      <c r="E105" s="1" t="s">
        <v>78</v>
      </c>
      <c r="F105" s="2">
        <v>41311</v>
      </c>
      <c r="G105" s="1" t="s">
        <v>78</v>
      </c>
      <c r="H105" t="str">
        <f>VLOOKUP($A105,Sheet1!$A$1:$E$31, 3, FALSE)</f>
        <v>Claire Smedley &lt;csmedley@vonseidels.com&gt;; Chandré Arendse &lt;cbarendse@vonseidels.com&gt;; Pearlen Oliver &lt;poliver@vonseidels.com&gt;</v>
      </c>
      <c r="I105" s="17" t="s">
        <v>444</v>
      </c>
      <c r="J105" t="str">
        <f>VLOOKUP($A105,Sheet1!$A$1:$E$31, 5, FALSE)</f>
        <v>Angola</v>
      </c>
    </row>
    <row r="106" spans="1:10" ht="13.5">
      <c r="A106" s="1" t="s">
        <v>73</v>
      </c>
      <c r="B106" s="1" t="s">
        <v>18</v>
      </c>
      <c r="C106" s="1" t="s">
        <v>1</v>
      </c>
      <c r="D106" s="2">
        <v>43215</v>
      </c>
      <c r="E106" s="1" t="s">
        <v>77</v>
      </c>
      <c r="F106" s="2">
        <v>44056</v>
      </c>
      <c r="G106" s="1" t="s">
        <v>76</v>
      </c>
      <c r="H106" t="str">
        <f>VLOOKUP($A106,Sheet1!$A$1:$E$31, 3, FALSE)</f>
        <v>'Claire Smedley' &lt;csmedley@vonseidels.com&gt;; 'Chandré Arendse' &lt;cbarendse@vonseidels.com&gt;; poliver@vonseidels.com</v>
      </c>
      <c r="I106" s="17" t="s">
        <v>445</v>
      </c>
      <c r="J106" t="str">
        <f>VLOOKUP($A106,Sheet1!$A$1:$E$31, 5, FALSE)</f>
        <v>Ethiopia</v>
      </c>
    </row>
    <row r="107" spans="1:10" ht="13.5">
      <c r="A107" s="1" t="s">
        <v>73</v>
      </c>
      <c r="B107" s="1" t="s">
        <v>6</v>
      </c>
      <c r="C107" s="1" t="s">
        <v>1</v>
      </c>
      <c r="D107" s="2">
        <v>42801</v>
      </c>
      <c r="E107" s="1" t="s">
        <v>75</v>
      </c>
      <c r="F107" s="2">
        <v>43531</v>
      </c>
      <c r="G107" s="1" t="s">
        <v>74</v>
      </c>
      <c r="H107" t="str">
        <f>VLOOKUP($A107,Sheet1!$A$1:$E$31, 3, FALSE)</f>
        <v>'Claire Smedley' &lt;csmedley@vonseidels.com&gt;; 'Chandré Arendse' &lt;cbarendse@vonseidels.com&gt;; poliver@vonseidels.com</v>
      </c>
      <c r="I107" s="17" t="s">
        <v>446</v>
      </c>
      <c r="J107" t="str">
        <f>VLOOKUP($A107,Sheet1!$A$1:$E$31, 5, FALSE)</f>
        <v>Ethiopia</v>
      </c>
    </row>
    <row r="108" spans="1:10" ht="13.5">
      <c r="A108" s="1" t="s">
        <v>73</v>
      </c>
      <c r="B108" s="1" t="s">
        <v>8</v>
      </c>
      <c r="C108" s="1" t="s">
        <v>1</v>
      </c>
      <c r="D108" s="2">
        <v>43496</v>
      </c>
      <c r="E108" s="1" t="s">
        <v>72</v>
      </c>
      <c r="F108" s="2">
        <v>43496</v>
      </c>
      <c r="G108" s="1" t="s">
        <v>71</v>
      </c>
      <c r="H108" t="str">
        <f>VLOOKUP($A108,Sheet1!$A$1:$E$31, 3, FALSE)</f>
        <v>'Claire Smedley' &lt;csmedley@vonseidels.com&gt;; 'Chandré Arendse' &lt;cbarendse@vonseidels.com&gt;; poliver@vonseidels.com</v>
      </c>
      <c r="I108" s="17" t="s">
        <v>447</v>
      </c>
      <c r="J108" t="str">
        <f>VLOOKUP($A108,Sheet1!$A$1:$E$31, 5, FALSE)</f>
        <v>Ethiopia</v>
      </c>
    </row>
    <row r="109" spans="1:10" ht="13.5">
      <c r="A109" s="1" t="s">
        <v>66</v>
      </c>
      <c r="B109" s="1" t="s">
        <v>18</v>
      </c>
      <c r="C109" s="1" t="s">
        <v>1</v>
      </c>
      <c r="D109" s="2">
        <v>43194</v>
      </c>
      <c r="E109" s="1" t="s">
        <v>70</v>
      </c>
      <c r="F109" s="2">
        <v>43194</v>
      </c>
      <c r="G109" s="1" t="s">
        <v>69</v>
      </c>
      <c r="H109" t="str">
        <f>VLOOKUP($A109,Sheet1!$A$1:$E$31, 3, FALSE)</f>
        <v>'Claire Smedley' &lt;csmedley@vonseidels.com&gt;; 'Chandré Arendse' &lt;cbarendse@vonseidels.com&gt;; poliver@vonseidels.com</v>
      </c>
      <c r="I109" s="17" t="s">
        <v>448</v>
      </c>
      <c r="J109" t="str">
        <f>VLOOKUP($A109,Sheet1!$A$1:$E$31, 5, FALSE)</f>
        <v>Uganda</v>
      </c>
    </row>
    <row r="110" spans="1:10" ht="13.5">
      <c r="A110" s="1" t="s">
        <v>66</v>
      </c>
      <c r="B110" s="1" t="s">
        <v>6</v>
      </c>
      <c r="C110" s="1" t="s">
        <v>1</v>
      </c>
      <c r="D110" s="2">
        <v>42765</v>
      </c>
      <c r="E110" s="1" t="s">
        <v>68</v>
      </c>
      <c r="F110" s="2">
        <v>43138</v>
      </c>
      <c r="G110" s="1" t="s">
        <v>67</v>
      </c>
      <c r="H110" t="str">
        <f>VLOOKUP($A110,Sheet1!$A$1:$E$31, 3, FALSE)</f>
        <v>'Claire Smedley' &lt;csmedley@vonseidels.com&gt;; 'Chandré Arendse' &lt;cbarendse@vonseidels.com&gt;; poliver@vonseidels.com</v>
      </c>
      <c r="I110" s="17" t="s">
        <v>449</v>
      </c>
      <c r="J110" t="str">
        <f>VLOOKUP($A110,Sheet1!$A$1:$E$31, 5, FALSE)</f>
        <v>Uganda</v>
      </c>
    </row>
    <row r="111" spans="1:10" ht="13.5">
      <c r="A111" s="1" t="s">
        <v>66</v>
      </c>
      <c r="B111" s="1" t="s">
        <v>8</v>
      </c>
      <c r="C111" s="1" t="s">
        <v>1</v>
      </c>
      <c r="D111" s="2">
        <v>43444</v>
      </c>
      <c r="E111" s="1" t="s">
        <v>65</v>
      </c>
      <c r="F111" s="2">
        <v>43871</v>
      </c>
      <c r="G111" s="1" t="s">
        <v>65</v>
      </c>
      <c r="H111" t="str">
        <f>VLOOKUP($A111,Sheet1!$A$1:$E$31, 3, FALSE)</f>
        <v>'Claire Smedley' &lt;csmedley@vonseidels.com&gt;; 'Chandré Arendse' &lt;cbarendse@vonseidels.com&gt;; poliver@vonseidels.com</v>
      </c>
      <c r="I111" s="17" t="s">
        <v>450</v>
      </c>
      <c r="J111" t="str">
        <f>VLOOKUP($A111,Sheet1!$A$1:$E$31, 5, FALSE)</f>
        <v>Uganda</v>
      </c>
    </row>
    <row r="112" spans="1:10" ht="13.5">
      <c r="A112" s="1" t="s">
        <v>60</v>
      </c>
      <c r="B112" s="1" t="s">
        <v>18</v>
      </c>
      <c r="C112" s="1" t="s">
        <v>1</v>
      </c>
      <c r="D112" s="2">
        <v>43194</v>
      </c>
      <c r="E112" s="1" t="s">
        <v>64</v>
      </c>
      <c r="F112" s="2">
        <v>43194</v>
      </c>
      <c r="G112" s="1" t="s">
        <v>64</v>
      </c>
      <c r="H112" t="str">
        <f>VLOOKUP($A112,Sheet1!$A$1:$E$31, 3, FALSE)</f>
        <v>info@ensafrica.com; rforster@ensafrica.com</v>
      </c>
      <c r="I112" s="17" t="s">
        <v>451</v>
      </c>
      <c r="J112" t="str">
        <f>VLOOKUP($A112,Sheet1!$A$1:$E$31, 5, FALSE)</f>
        <v>Zambia</v>
      </c>
    </row>
    <row r="113" spans="1:10" ht="13.5">
      <c r="A113" s="1" t="s">
        <v>60</v>
      </c>
      <c r="B113" s="1" t="s">
        <v>6</v>
      </c>
      <c r="C113" s="1" t="s">
        <v>1</v>
      </c>
      <c r="D113" s="2">
        <v>42647</v>
      </c>
      <c r="E113" s="1" t="s">
        <v>63</v>
      </c>
      <c r="F113" s="2">
        <v>42878</v>
      </c>
      <c r="G113" s="1" t="s">
        <v>62</v>
      </c>
      <c r="H113" t="str">
        <f>VLOOKUP($A113,Sheet1!$A$1:$E$31, 3, FALSE)</f>
        <v>info@ensafrica.com; rforster@ensafrica.com</v>
      </c>
      <c r="I113" s="17" t="s">
        <v>452</v>
      </c>
      <c r="J113" t="str">
        <f>VLOOKUP($A113,Sheet1!$A$1:$E$31, 5, FALSE)</f>
        <v>Zambia</v>
      </c>
    </row>
    <row r="114" spans="1:10" ht="13.5">
      <c r="A114" s="1" t="s">
        <v>60</v>
      </c>
      <c r="B114" s="1" t="s">
        <v>8</v>
      </c>
      <c r="C114" s="1" t="s">
        <v>50</v>
      </c>
      <c r="D114" s="2">
        <v>44924</v>
      </c>
      <c r="E114" s="1" t="s">
        <v>61</v>
      </c>
      <c r="F114" s="2">
        <v>45446</v>
      </c>
      <c r="G114" s="1" t="s">
        <v>61</v>
      </c>
      <c r="H114" t="str">
        <f>VLOOKUP($A114,Sheet1!$A$1:$E$31, 3, FALSE)</f>
        <v>info@ensafrica.com; rforster@ensafrica.com</v>
      </c>
      <c r="I114" s="17" t="s">
        <v>453</v>
      </c>
      <c r="J114" t="str">
        <f>VLOOKUP($A114,Sheet1!$A$1:$E$31, 5, FALSE)</f>
        <v>Zambia</v>
      </c>
    </row>
    <row r="115" spans="1:10" ht="13.5">
      <c r="A115" s="1" t="s">
        <v>60</v>
      </c>
      <c r="B115" s="1" t="s">
        <v>59</v>
      </c>
      <c r="C115" s="1" t="s">
        <v>50</v>
      </c>
      <c r="D115" s="2">
        <v>44924</v>
      </c>
      <c r="E115" s="1" t="s">
        <v>58</v>
      </c>
      <c r="F115" s="2">
        <v>45236</v>
      </c>
      <c r="G115" s="1" t="s">
        <v>58</v>
      </c>
      <c r="H115" t="str">
        <f>VLOOKUP($A115,Sheet1!$A$1:$E$31, 3, FALSE)</f>
        <v>info@ensafrica.com; rforster@ensafrica.com</v>
      </c>
      <c r="I115" s="17" t="s">
        <v>454</v>
      </c>
      <c r="J115" t="str">
        <f>VLOOKUP($A115,Sheet1!$A$1:$E$31, 5, FALSE)</f>
        <v>Zambia</v>
      </c>
    </row>
    <row r="116" spans="1:10" ht="13.5">
      <c r="A116" s="1" t="s">
        <v>55</v>
      </c>
      <c r="B116" s="1" t="s">
        <v>6</v>
      </c>
      <c r="C116" s="1" t="s">
        <v>1</v>
      </c>
      <c r="D116" s="2">
        <v>40875</v>
      </c>
      <c r="E116" s="1" t="s">
        <v>57</v>
      </c>
      <c r="F116" s="2">
        <v>40875</v>
      </c>
      <c r="G116" s="1" t="s">
        <v>56</v>
      </c>
      <c r="H116" t="str">
        <f>VLOOKUP($A116,Sheet1!$A$1:$E$31, 3, FALSE)</f>
        <v>'Claire Smedley' &lt;csmedley@vonseidels.com&gt;; 'Chandré Arendse' &lt;cbarendse@vonseidels.com&gt;; poliver@vonseidels.com</v>
      </c>
      <c r="I116" s="17" t="s">
        <v>455</v>
      </c>
      <c r="J116" t="str">
        <f>VLOOKUP($A116,Sheet1!$A$1:$E$31, 5, FALSE)</f>
        <v>Djibouti</v>
      </c>
    </row>
    <row r="117" spans="1:10" ht="13.5">
      <c r="A117" s="1" t="s">
        <v>55</v>
      </c>
      <c r="B117" s="1" t="s">
        <v>8</v>
      </c>
      <c r="C117" s="1" t="s">
        <v>1</v>
      </c>
      <c r="D117" s="2">
        <v>43443</v>
      </c>
      <c r="E117" s="1" t="s">
        <v>54</v>
      </c>
      <c r="F117" s="2">
        <v>43461</v>
      </c>
      <c r="G117" s="1" t="s">
        <v>54</v>
      </c>
      <c r="H117" t="str">
        <f>VLOOKUP($A117,Sheet1!$A$1:$E$31, 3, FALSE)</f>
        <v>'Claire Smedley' &lt;csmedley@vonseidels.com&gt;; 'Chandré Arendse' &lt;cbarendse@vonseidels.com&gt;; poliver@vonseidels.com</v>
      </c>
      <c r="I117" s="17" t="s">
        <v>456</v>
      </c>
      <c r="J117" t="str">
        <f>VLOOKUP($A117,Sheet1!$A$1:$E$31, 5, FALSE)</f>
        <v>Djibouti</v>
      </c>
    </row>
    <row r="118" spans="1:10" ht="13.5">
      <c r="A118" s="1" t="s">
        <v>53</v>
      </c>
      <c r="B118" s="1" t="s">
        <v>52</v>
      </c>
      <c r="C118" s="1" t="s">
        <v>50</v>
      </c>
      <c r="D118" s="2">
        <v>44942</v>
      </c>
      <c r="E118" s="1" t="s">
        <v>51</v>
      </c>
      <c r="F118" s="1"/>
      <c r="G118" s="1" t="s">
        <v>29</v>
      </c>
      <c r="H118" t="str">
        <f>VLOOKUP($A118,Sheet1!$A$1:$E$31, 3, FALSE)</f>
        <v>info@ensafrica.com; rforster@ensafrica.com</v>
      </c>
      <c r="I118" s="17" t="s">
        <v>457</v>
      </c>
      <c r="J118" t="str">
        <f>VLOOKUP($A118,Sheet1!$A$1:$E$31, 5, FALSE)</f>
        <v>Zimbabwe</v>
      </c>
    </row>
    <row r="119" spans="1:10" ht="13.5">
      <c r="A119" s="1" t="s">
        <v>47</v>
      </c>
      <c r="B119" s="1" t="s">
        <v>18</v>
      </c>
      <c r="C119" s="1" t="s">
        <v>50</v>
      </c>
      <c r="D119" s="2">
        <v>45065</v>
      </c>
      <c r="E119" s="1" t="s">
        <v>49</v>
      </c>
      <c r="F119" s="1"/>
      <c r="G119" s="1" t="s">
        <v>29</v>
      </c>
      <c r="H119" t="str">
        <f>VLOOKUP($A119,Sheet1!$A$1:$E$31, 3, FALSE)</f>
        <v>'Claire Smedley' &lt;csmedley@vonseidels.com&gt;; 'Chandré Arendse' &lt;cbarendse@vonseidels.com&gt;; poliver@vonseidels.com</v>
      </c>
      <c r="I119" s="17" t="s">
        <v>458</v>
      </c>
      <c r="J119" t="str">
        <f>VLOOKUP($A119,Sheet1!$A$1:$E$31, 5, FALSE)</f>
        <v>Kenya</v>
      </c>
    </row>
    <row r="120" spans="1:10" ht="13.5">
      <c r="A120" s="1" t="s">
        <v>47</v>
      </c>
      <c r="B120" s="1" t="s">
        <v>285</v>
      </c>
      <c r="C120" s="1" t="s">
        <v>1</v>
      </c>
      <c r="D120" s="2">
        <v>43924</v>
      </c>
      <c r="E120" s="1" t="s">
        <v>48</v>
      </c>
      <c r="F120" s="2">
        <v>43924</v>
      </c>
      <c r="G120" s="1" t="s">
        <v>48</v>
      </c>
      <c r="H120" t="str">
        <f>VLOOKUP($A120,Sheet1!$A$1:$E$31, 3, FALSE)</f>
        <v>'Claire Smedley' &lt;csmedley@vonseidels.com&gt;; 'Chandré Arendse' &lt;cbarendse@vonseidels.com&gt;; poliver@vonseidels.com</v>
      </c>
      <c r="I120" s="17" t="s">
        <v>459</v>
      </c>
      <c r="J120" t="str">
        <f>VLOOKUP($A120,Sheet1!$A$1:$E$31, 5, FALSE)</f>
        <v>Kenya</v>
      </c>
    </row>
    <row r="121" spans="1:10" ht="13.5">
      <c r="A121" s="1" t="s">
        <v>47</v>
      </c>
      <c r="B121" s="1" t="s">
        <v>286</v>
      </c>
      <c r="C121" s="1" t="s">
        <v>1</v>
      </c>
      <c r="D121" s="2">
        <v>43924</v>
      </c>
      <c r="E121" s="1" t="s">
        <v>46</v>
      </c>
      <c r="F121" s="2">
        <v>43924</v>
      </c>
      <c r="G121" s="1" t="s">
        <v>46</v>
      </c>
      <c r="H121" t="str">
        <f>VLOOKUP($A121,Sheet1!$A$1:$E$31, 3, FALSE)</f>
        <v>'Claire Smedley' &lt;csmedley@vonseidels.com&gt;; 'Chandré Arendse' &lt;cbarendse@vonseidels.com&gt;; poliver@vonseidels.com</v>
      </c>
      <c r="I121" s="17" t="s">
        <v>460</v>
      </c>
      <c r="J121" t="str">
        <f>VLOOKUP($A121,Sheet1!$A$1:$E$31, 5, FALSE)</f>
        <v>Kenya</v>
      </c>
    </row>
    <row r="122" spans="1:10" ht="13.5">
      <c r="A122" s="1" t="s">
        <v>36</v>
      </c>
      <c r="B122" s="1" t="s">
        <v>45</v>
      </c>
      <c r="C122" s="1" t="s">
        <v>1</v>
      </c>
      <c r="D122" s="2">
        <v>40365</v>
      </c>
      <c r="E122" s="1" t="s">
        <v>44</v>
      </c>
      <c r="F122" s="2">
        <v>40627</v>
      </c>
      <c r="G122" s="1" t="s">
        <v>43</v>
      </c>
      <c r="H122" t="str">
        <f>VLOOKUP($A122,Sheet1!$A$1:$E$31, 3, FALSE)</f>
        <v>CASTELLANOS &amp; Co. &lt;castellanos@castellanosyco.co&gt;</v>
      </c>
      <c r="I122" s="17" t="s">
        <v>461</v>
      </c>
      <c r="J122" t="str">
        <f>VLOOKUP($A122,Sheet1!$A$1:$E$31, 5, FALSE)</f>
        <v>Colombia</v>
      </c>
    </row>
    <row r="123" spans="1:10" ht="13.5">
      <c r="A123" s="1" t="s">
        <v>36</v>
      </c>
      <c r="B123" s="1" t="s">
        <v>288</v>
      </c>
      <c r="C123" s="1" t="s">
        <v>1</v>
      </c>
      <c r="D123" s="2">
        <v>40652</v>
      </c>
      <c r="E123" s="1" t="s">
        <v>42</v>
      </c>
      <c r="F123" s="2">
        <v>40815</v>
      </c>
      <c r="G123" s="1" t="s">
        <v>41</v>
      </c>
      <c r="H123" t="str">
        <f>VLOOKUP($A123,Sheet1!$A$1:$E$31, 3, FALSE)</f>
        <v>CASTELLANOS &amp; Co. &lt;castellanos@castellanosyco.co&gt;</v>
      </c>
      <c r="I123" s="17" t="s">
        <v>462</v>
      </c>
      <c r="J123" t="str">
        <f>VLOOKUP($A123,Sheet1!$A$1:$E$31, 5, FALSE)</f>
        <v>Colombia</v>
      </c>
    </row>
    <row r="124" spans="1:10" ht="13.5">
      <c r="A124" s="1" t="s">
        <v>36</v>
      </c>
      <c r="B124" s="1" t="s">
        <v>8</v>
      </c>
      <c r="C124" s="1" t="s">
        <v>1</v>
      </c>
      <c r="D124" s="2">
        <v>40365</v>
      </c>
      <c r="E124" s="1" t="s">
        <v>40</v>
      </c>
      <c r="F124" s="2">
        <v>40627</v>
      </c>
      <c r="G124" s="1" t="s">
        <v>39</v>
      </c>
      <c r="H124" t="str">
        <f>VLOOKUP($A124,Sheet1!$A$1:$E$31, 3, FALSE)</f>
        <v>CASTELLANOS &amp; Co. &lt;castellanos@castellanosyco.co&gt;</v>
      </c>
      <c r="I124" s="17" t="s">
        <v>463</v>
      </c>
      <c r="J124" t="str">
        <f>VLOOKUP($A124,Sheet1!$A$1:$E$31, 5, FALSE)</f>
        <v>Colombia</v>
      </c>
    </row>
    <row r="125" spans="1:10" ht="13.5">
      <c r="A125" s="1" t="s">
        <v>36</v>
      </c>
      <c r="B125" s="1" t="s">
        <v>2</v>
      </c>
      <c r="C125" s="1" t="s">
        <v>1</v>
      </c>
      <c r="D125" s="2">
        <v>38973</v>
      </c>
      <c r="E125" s="1" t="s">
        <v>38</v>
      </c>
      <c r="F125" s="2">
        <v>39169</v>
      </c>
      <c r="G125" s="1" t="s">
        <v>37</v>
      </c>
      <c r="H125" t="str">
        <f>VLOOKUP($A125,Sheet1!$A$1:$E$31, 3, FALSE)</f>
        <v>CASTELLANOS &amp; Co. &lt;castellanos@castellanosyco.co&gt;</v>
      </c>
      <c r="I125" s="17" t="s">
        <v>464</v>
      </c>
      <c r="J125" t="str">
        <f>VLOOKUP($A125,Sheet1!$A$1:$E$31, 5, FALSE)</f>
        <v>Colombia</v>
      </c>
    </row>
    <row r="126" spans="1:10" ht="13.5">
      <c r="A126" s="1" t="s">
        <v>36</v>
      </c>
      <c r="B126" s="1" t="s">
        <v>6</v>
      </c>
      <c r="C126" s="1" t="s">
        <v>1</v>
      </c>
      <c r="D126" s="2">
        <v>34697</v>
      </c>
      <c r="E126" s="1" t="s">
        <v>35</v>
      </c>
      <c r="F126" s="2">
        <v>35824</v>
      </c>
      <c r="G126" s="1" t="s">
        <v>34</v>
      </c>
      <c r="H126" t="str">
        <f>VLOOKUP($A126,Sheet1!$A$1:$E$31, 3, FALSE)</f>
        <v>CASTELLANOS &amp; Co. &lt;castellanos@castellanosyco.co&gt;</v>
      </c>
      <c r="I126" s="17" t="s">
        <v>465</v>
      </c>
      <c r="J126" t="str">
        <f>VLOOKUP($A126,Sheet1!$A$1:$E$31, 5, FALSE)</f>
        <v>Colombia</v>
      </c>
    </row>
    <row r="127" spans="1:10" ht="13.5">
      <c r="A127" s="1" t="s">
        <v>30</v>
      </c>
      <c r="B127" s="1" t="s">
        <v>33</v>
      </c>
      <c r="C127" s="1" t="s">
        <v>1</v>
      </c>
      <c r="D127" s="2">
        <v>43487</v>
      </c>
      <c r="E127" s="1" t="s">
        <v>32</v>
      </c>
      <c r="F127" s="2">
        <v>43487</v>
      </c>
      <c r="G127" s="1" t="s">
        <v>31</v>
      </c>
      <c r="H127" t="str">
        <f>VLOOKUP($A127,Sheet1!$A$1:$E$31, 3, FALSE)</f>
        <v>'Claire Smedley' &lt;csmedley@vonseidels.com&gt;; 'Chandré Arendse' &lt;cbarendse@vonseidels.com&gt;; poliver@vonseidels.com</v>
      </c>
      <c r="I127" s="17" t="s">
        <v>466</v>
      </c>
      <c r="J127" t="str">
        <f>VLOOKUP($A127,Sheet1!$A$1:$E$31, 5, FALSE)</f>
        <v>Democratic Republic of the Congo</v>
      </c>
    </row>
    <row r="128" spans="1:10" ht="13.5">
      <c r="A128" s="1" t="s">
        <v>30</v>
      </c>
      <c r="B128" s="1" t="s">
        <v>6</v>
      </c>
      <c r="C128" s="1" t="s">
        <v>1</v>
      </c>
      <c r="D128" s="3"/>
      <c r="E128" s="3" t="s">
        <v>29</v>
      </c>
      <c r="F128" s="2">
        <v>42657</v>
      </c>
      <c r="G128" s="1" t="s">
        <v>28</v>
      </c>
      <c r="H128" t="str">
        <f>VLOOKUP($A128,Sheet1!$A$1:$E$31, 3, FALSE)</f>
        <v>'Claire Smedley' &lt;csmedley@vonseidels.com&gt;; 'Chandré Arendse' &lt;cbarendse@vonseidels.com&gt;; poliver@vonseidels.com</v>
      </c>
      <c r="I128" s="17" t="s">
        <v>467</v>
      </c>
      <c r="J128" t="str">
        <f>VLOOKUP($A128,Sheet1!$A$1:$E$31, 5, FALSE)</f>
        <v>Democratic Republic of the Congo</v>
      </c>
    </row>
    <row r="129" spans="1:10" ht="13.5">
      <c r="A129" s="1" t="s">
        <v>15</v>
      </c>
      <c r="B129" s="1" t="s">
        <v>8</v>
      </c>
      <c r="C129" s="1" t="s">
        <v>1</v>
      </c>
      <c r="D129" s="2">
        <v>43423</v>
      </c>
      <c r="E129" s="1" t="s">
        <v>27</v>
      </c>
      <c r="F129" s="2">
        <v>43423</v>
      </c>
      <c r="G129" s="1" t="s">
        <v>27</v>
      </c>
      <c r="H129" t="str">
        <f>VLOOKUP($A129,Sheet1!$A$1:$E$31, 3, FALSE)</f>
        <v>'Claire Smedley' &lt;csmedley@vonseidels.com&gt;; 'Chandré Arendse' &lt;cbarendse@vonseidels.com&gt;; poliver@vonseidels.com</v>
      </c>
      <c r="I129" s="17" t="s">
        <v>468</v>
      </c>
      <c r="J129" t="str">
        <f>VLOOKUP($A129,Sheet1!$A$1:$E$31, 5, FALSE)</f>
        <v>Tanzania (Tanganyika)</v>
      </c>
    </row>
    <row r="130" spans="1:10" ht="13.5">
      <c r="A130" s="1" t="s">
        <v>15</v>
      </c>
      <c r="B130" s="1" t="s">
        <v>6</v>
      </c>
      <c r="C130" s="1" t="s">
        <v>1</v>
      </c>
      <c r="D130" s="2">
        <v>39831</v>
      </c>
      <c r="E130" s="1" t="s">
        <v>26</v>
      </c>
      <c r="F130" s="2">
        <v>40926</v>
      </c>
      <c r="G130" s="1" t="s">
        <v>26</v>
      </c>
      <c r="H130" t="str">
        <f>VLOOKUP($A130,Sheet1!$A$1:$E$31, 3, FALSE)</f>
        <v>'Claire Smedley' &lt;csmedley@vonseidels.com&gt;; 'Chandré Arendse' &lt;cbarendse@vonseidels.com&gt;; poliver@vonseidels.com</v>
      </c>
      <c r="I130" s="17" t="s">
        <v>469</v>
      </c>
      <c r="J130" t="str">
        <f>VLOOKUP($A130,Sheet1!$A$1:$E$31, 5, FALSE)</f>
        <v>Tanzania (Tanganyika)</v>
      </c>
    </row>
    <row r="131" spans="1:10" ht="13.5">
      <c r="A131" s="1" t="s">
        <v>21</v>
      </c>
      <c r="B131" s="1" t="s">
        <v>14</v>
      </c>
      <c r="C131" s="1" t="s">
        <v>1</v>
      </c>
      <c r="D131" s="2">
        <v>43587</v>
      </c>
      <c r="E131" s="1" t="s">
        <v>25</v>
      </c>
      <c r="F131" s="2">
        <v>43588</v>
      </c>
      <c r="G131" s="1" t="s">
        <v>24</v>
      </c>
      <c r="H131" t="str">
        <f>VLOOKUP($A131,Sheet1!$A$1:$E$31, 3, FALSE)</f>
        <v>'Claire Smedley' &lt;csmedley@vonseidels.com&gt;; 'Chandré Arendse' &lt;cbarendse@vonseidels.com&gt;; poliver@vonseidels.com</v>
      </c>
      <c r="I131" s="17" t="s">
        <v>470</v>
      </c>
      <c r="J131" t="str">
        <f>VLOOKUP($A131,Sheet1!$A$1:$E$31, 5, FALSE)</f>
        <v>Tanzania (Zanzibar)</v>
      </c>
    </row>
    <row r="132" spans="1:10" ht="13.5">
      <c r="A132" s="1" t="s">
        <v>21</v>
      </c>
      <c r="B132" s="1" t="s">
        <v>18</v>
      </c>
      <c r="C132" s="1" t="s">
        <v>1</v>
      </c>
      <c r="D132" s="2">
        <v>43196</v>
      </c>
      <c r="E132" s="1" t="s">
        <v>23</v>
      </c>
      <c r="F132" s="2">
        <v>43342</v>
      </c>
      <c r="G132" s="1" t="s">
        <v>22</v>
      </c>
      <c r="H132" t="str">
        <f>VLOOKUP($A132,Sheet1!$A$1:$E$31, 3, FALSE)</f>
        <v>'Claire Smedley' &lt;csmedley@vonseidels.com&gt;; 'Chandré Arendse' &lt;cbarendse@vonseidels.com&gt;; poliver@vonseidels.com</v>
      </c>
      <c r="I132" s="17" t="s">
        <v>471</v>
      </c>
      <c r="J132" t="str">
        <f>VLOOKUP($A132,Sheet1!$A$1:$E$31, 5, FALSE)</f>
        <v>Tanzania (Zanzibar)</v>
      </c>
    </row>
    <row r="133" spans="1:10" ht="13.5">
      <c r="A133" s="1" t="s">
        <v>21</v>
      </c>
      <c r="B133" s="1" t="s">
        <v>8</v>
      </c>
      <c r="C133" s="1" t="s">
        <v>1</v>
      </c>
      <c r="D133" s="2">
        <v>43426</v>
      </c>
      <c r="E133" s="1" t="s">
        <v>20</v>
      </c>
      <c r="F133" s="2">
        <v>43560</v>
      </c>
      <c r="G133" s="1" t="s">
        <v>19</v>
      </c>
      <c r="H133" t="str">
        <f>VLOOKUP($A133,Sheet1!$A$1:$E$31, 3, FALSE)</f>
        <v>'Claire Smedley' &lt;csmedley@vonseidels.com&gt;; 'Chandré Arendse' &lt;cbarendse@vonseidels.com&gt;; poliver@vonseidels.com</v>
      </c>
      <c r="I133" s="17" t="s">
        <v>472</v>
      </c>
      <c r="J133" t="str">
        <f>VLOOKUP($A133,Sheet1!$A$1:$E$31, 5, FALSE)</f>
        <v>Tanzania (Zanzibar)</v>
      </c>
    </row>
    <row r="134" spans="1:10" ht="13.5">
      <c r="A134" s="1" t="s">
        <v>15</v>
      </c>
      <c r="B134" s="1" t="s">
        <v>18</v>
      </c>
      <c r="C134" s="1" t="s">
        <v>1</v>
      </c>
      <c r="D134" s="2">
        <v>43195</v>
      </c>
      <c r="E134" s="1" t="s">
        <v>17</v>
      </c>
      <c r="F134" s="2">
        <v>43320</v>
      </c>
      <c r="G134" s="1" t="s">
        <v>16</v>
      </c>
      <c r="H134" t="str">
        <f>VLOOKUP($A134,Sheet1!$A$1:$E$31, 3, FALSE)</f>
        <v>'Claire Smedley' &lt;csmedley@vonseidels.com&gt;; 'Chandré Arendse' &lt;cbarendse@vonseidels.com&gt;; poliver@vonseidels.com</v>
      </c>
      <c r="I134" s="17" t="s">
        <v>473</v>
      </c>
      <c r="J134" t="str">
        <f>VLOOKUP($A134,Sheet1!$A$1:$E$31, 5, FALSE)</f>
        <v>Tanzania (Tanganyika)</v>
      </c>
    </row>
    <row r="135" spans="1:10" ht="13.5">
      <c r="A135" s="1" t="s">
        <v>15</v>
      </c>
      <c r="B135" s="1" t="s">
        <v>14</v>
      </c>
      <c r="C135" s="1" t="s">
        <v>1</v>
      </c>
      <c r="D135" s="2">
        <v>43585</v>
      </c>
      <c r="E135" s="1" t="s">
        <v>13</v>
      </c>
      <c r="F135" s="2">
        <v>43585</v>
      </c>
      <c r="G135" s="1" t="s">
        <v>13</v>
      </c>
      <c r="H135" t="str">
        <f>VLOOKUP($A135,Sheet1!$A$1:$E$31, 3, FALSE)</f>
        <v>'Claire Smedley' &lt;csmedley@vonseidels.com&gt;; 'Chandré Arendse' &lt;cbarendse@vonseidels.com&gt;; poliver@vonseidels.com</v>
      </c>
      <c r="I135" s="17" t="s">
        <v>474</v>
      </c>
      <c r="J135" t="str">
        <f>VLOOKUP($A135,Sheet1!$A$1:$E$31, 5, FALSE)</f>
        <v>Tanzania (Tanganyika)</v>
      </c>
    </row>
    <row r="136" spans="1:10" ht="13.5">
      <c r="A136" s="1" t="s">
        <v>3</v>
      </c>
      <c r="B136" s="1" t="s">
        <v>12</v>
      </c>
      <c r="C136" s="1" t="s">
        <v>1</v>
      </c>
      <c r="D136" s="2">
        <v>41695</v>
      </c>
      <c r="E136" s="1" t="s">
        <v>11</v>
      </c>
      <c r="F136" s="2">
        <v>41695</v>
      </c>
      <c r="G136" s="1" t="s">
        <v>11</v>
      </c>
      <c r="H136" t="str">
        <f>VLOOKUP($A136,Sheet1!$A$1:$E$31, 3, FALSE)</f>
        <v>Castellanos &amp; CO &lt;castellanos@castellanosyco.co&gt;</v>
      </c>
      <c r="I136" s="17" t="s">
        <v>475</v>
      </c>
      <c r="J136" t="str">
        <f>VLOOKUP($A136,Sheet1!$A$1:$E$31, 5, FALSE)</f>
        <v>Panama</v>
      </c>
    </row>
    <row r="137" spans="1:10" ht="13.5">
      <c r="A137" s="1" t="s">
        <v>3</v>
      </c>
      <c r="B137" s="1" t="s">
        <v>288</v>
      </c>
      <c r="C137" s="1" t="s">
        <v>1</v>
      </c>
      <c r="D137" s="2">
        <v>40658</v>
      </c>
      <c r="E137" s="1" t="s">
        <v>10</v>
      </c>
      <c r="F137" s="2">
        <v>40658</v>
      </c>
      <c r="G137" s="1" t="s">
        <v>10</v>
      </c>
      <c r="H137" t="str">
        <f>VLOOKUP($A137,Sheet1!$A$1:$E$31, 3, FALSE)</f>
        <v>Castellanos &amp; CO &lt;castellanos@castellanosyco.co&gt;</v>
      </c>
      <c r="I137" s="17" t="s">
        <v>476</v>
      </c>
      <c r="J137" t="str">
        <f>VLOOKUP($A137,Sheet1!$A$1:$E$31, 5, FALSE)</f>
        <v>Panama</v>
      </c>
    </row>
    <row r="138" spans="1:10" ht="13.5">
      <c r="A138" s="1" t="s">
        <v>3</v>
      </c>
      <c r="B138" s="1" t="s">
        <v>6</v>
      </c>
      <c r="C138" s="1" t="s">
        <v>1</v>
      </c>
      <c r="D138" s="2">
        <v>34747</v>
      </c>
      <c r="E138" s="1">
        <v>74453</v>
      </c>
      <c r="F138" s="2">
        <v>34747</v>
      </c>
      <c r="G138" s="1" t="s">
        <v>9</v>
      </c>
      <c r="H138" t="str">
        <f>VLOOKUP($A138,Sheet1!$A$1:$E$31, 3, FALSE)</f>
        <v>Castellanos &amp; CO &lt;castellanos@castellanosyco.co&gt;</v>
      </c>
      <c r="I138" s="17" t="s">
        <v>477</v>
      </c>
      <c r="J138" t="str">
        <f>VLOOKUP($A138,Sheet1!$A$1:$E$31, 5, FALSE)</f>
        <v>Panama</v>
      </c>
    </row>
    <row r="139" spans="1:10" ht="13.5">
      <c r="A139" s="1" t="s">
        <v>3</v>
      </c>
      <c r="B139" s="1" t="s">
        <v>8</v>
      </c>
      <c r="C139" s="1" t="s">
        <v>1</v>
      </c>
      <c r="D139" s="2">
        <v>41074</v>
      </c>
      <c r="E139" s="1" t="s">
        <v>7</v>
      </c>
      <c r="F139" s="2">
        <v>41074</v>
      </c>
      <c r="G139" s="1" t="s">
        <v>7</v>
      </c>
      <c r="H139" t="str">
        <f>VLOOKUP($A139,Sheet1!$A$1:$E$31, 3, FALSE)</f>
        <v>Castellanos &amp; CO &lt;castellanos@castellanosyco.co&gt;</v>
      </c>
      <c r="I139" s="17" t="s">
        <v>478</v>
      </c>
      <c r="J139" t="str">
        <f>VLOOKUP($A139,Sheet1!$A$1:$E$31, 5, FALSE)</f>
        <v>Panama</v>
      </c>
    </row>
    <row r="140" spans="1:10" ht="13.5">
      <c r="A140" s="1" t="s">
        <v>3</v>
      </c>
      <c r="B140" s="1" t="s">
        <v>6</v>
      </c>
      <c r="C140" s="1" t="s">
        <v>5</v>
      </c>
      <c r="D140" s="2">
        <v>40836</v>
      </c>
      <c r="E140" s="1" t="s">
        <v>4</v>
      </c>
      <c r="F140" s="2">
        <v>40836</v>
      </c>
      <c r="G140" s="1" t="s">
        <v>4</v>
      </c>
      <c r="H140" t="str">
        <f>VLOOKUP($A140,Sheet1!$A$1:$E$31, 3, FALSE)</f>
        <v>Castellanos &amp; CO &lt;castellanos@castellanosyco.co&gt;</v>
      </c>
      <c r="I140" s="17" t="s">
        <v>479</v>
      </c>
      <c r="J140" t="str">
        <f>VLOOKUP($A140,Sheet1!$A$1:$E$31, 5, FALSE)</f>
        <v>Panama</v>
      </c>
    </row>
    <row r="141" spans="1:10" ht="13.5">
      <c r="A141" s="1" t="s">
        <v>3</v>
      </c>
      <c r="B141" s="1" t="s">
        <v>2</v>
      </c>
      <c r="C141" s="1" t="s">
        <v>1</v>
      </c>
      <c r="D141" s="2">
        <v>34990</v>
      </c>
      <c r="E141" s="1" t="s">
        <v>0</v>
      </c>
      <c r="F141" s="2">
        <v>38643</v>
      </c>
      <c r="G141" s="1" t="s">
        <v>0</v>
      </c>
      <c r="H141" t="str">
        <f>VLOOKUP($A141,Sheet1!$A$1:$E$31, 3, FALSE)</f>
        <v>Castellanos &amp; CO &lt;castellanos@castellanosyco.co&gt;</v>
      </c>
      <c r="I141" s="17" t="s">
        <v>480</v>
      </c>
      <c r="J141" t="str">
        <f>VLOOKUP($A141,Sheet1!$A$1:$E$31, 5, FALSE)</f>
        <v>Panama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52F1-1B29-4C80-AB4C-8FEA2A933923}">
  <dimension ref="A1:E31"/>
  <sheetViews>
    <sheetView workbookViewId="0">
      <selection activeCell="D18" sqref="D18"/>
    </sheetView>
  </sheetViews>
  <sheetFormatPr defaultRowHeight="12.75"/>
  <cols>
    <col min="1" max="2" width="9.140625" style="13"/>
    <col min="3" max="3" width="23.28515625" style="13" customWidth="1"/>
    <col min="4" max="4" width="51.140625" style="13" customWidth="1"/>
    <col min="5" max="5" width="42.5703125" style="13" customWidth="1"/>
    <col min="6" max="16384" width="9.140625" style="13"/>
  </cols>
  <sheetData>
    <row r="1" spans="1:5" s="13" customFormat="1" ht="27">
      <c r="A1" s="7" t="s">
        <v>296</v>
      </c>
      <c r="B1" s="8" t="s">
        <v>297</v>
      </c>
      <c r="C1" s="14" t="s">
        <v>333</v>
      </c>
      <c r="D1" s="14" t="s">
        <v>334</v>
      </c>
    </row>
    <row r="2" spans="1:5" s="13" customFormat="1" ht="13.5">
      <c r="A2" s="9" t="s">
        <v>298</v>
      </c>
      <c r="B2" s="10" t="s">
        <v>299</v>
      </c>
      <c r="C2" s="15" t="str" cm="1">
        <f t="array" ref="C2">_xlfn.XLOOKUP(1, ([1]Sheet1!$A$2:$A$497 = [1]Sheet2!A2) * ([1]Sheet1!$B$2:$B$497 = [1]Sheet2!B2), [1]Sheet1!$D$2:$D$497, "")</f>
        <v>Claire Smedley &lt;csmedley@vonseidels.com&gt;; Chandré Arendse &lt;cbarendse@vonseidels.com&gt;; Pearlen Oliver &lt;poliver@vonseidels.com&gt;</v>
      </c>
      <c r="D2" s="15"/>
      <c r="E2" s="15" t="s">
        <v>335</v>
      </c>
    </row>
    <row r="3" spans="1:5" s="13" customFormat="1" ht="13.5">
      <c r="A3" s="11" t="s">
        <v>300</v>
      </c>
      <c r="B3" s="12" t="s">
        <v>301</v>
      </c>
      <c r="C3" s="15" t="str" cm="1">
        <f t="array" ref="C3">_xlfn.XLOOKUP(1, ([1]Sheet1!$A$2:$A$497 = [1]Sheet2!A3) * ([1]Sheet1!$B$2:$B$497 = [1]Sheet2!B3), [1]Sheet1!$D$2:$D$497, "")</f>
        <v>info@ensafrica.com; rforster@ensafrica.com</v>
      </c>
      <c r="D3" s="15"/>
      <c r="E3" s="15" t="s">
        <v>336</v>
      </c>
    </row>
    <row r="4" spans="1:5" s="13" customFormat="1" ht="13.5">
      <c r="A4" s="9" t="s">
        <v>302</v>
      </c>
      <c r="B4" s="10" t="s">
        <v>299</v>
      </c>
      <c r="C4" s="15" t="str" cm="1">
        <f t="array" ref="C4">_xlfn.XLOOKUP(1, ([1]Sheet1!$A$2:$A$497 = [1]Sheet2!A4) * ([1]Sheet1!$B$2:$B$497 = [1]Sheet2!B4), [1]Sheet1!$D$2:$D$497, "")</f>
        <v>'Claire Smedley' &lt;csmedley@vonseidels.com&gt;; 'Chandré Arendse' &lt;cbarendse@vonseidels.com&gt;; poliver@vonseidels.com</v>
      </c>
      <c r="D4" s="15"/>
      <c r="E4" s="15" t="s">
        <v>337</v>
      </c>
    </row>
    <row r="5" spans="1:5" s="13" customFormat="1" ht="40.5">
      <c r="A5" s="9" t="s">
        <v>303</v>
      </c>
      <c r="B5" s="10" t="s">
        <v>304</v>
      </c>
      <c r="C5" s="15" t="str" cm="1">
        <f t="array" ref="C5">_xlfn.XLOOKUP(1, ([1]Sheet1!$A$2:$A$497 = [1]Sheet2!A5) * ([1]Sheet1!$B$2:$B$497 = [1]Sheet2!B5), [1]Sheet1!$D$2:$D$497, "")</f>
        <v>CASTELLANOS &amp; Co. &lt;castellanos@castellanosyco.co&gt;</v>
      </c>
      <c r="D5" s="15"/>
      <c r="E5" s="15" t="s">
        <v>338</v>
      </c>
    </row>
    <row r="6" spans="1:5" s="13" customFormat="1" ht="13.5">
      <c r="A6" s="9" t="s">
        <v>305</v>
      </c>
      <c r="B6" s="10" t="s">
        <v>299</v>
      </c>
      <c r="C6" s="15" t="str" cm="1">
        <f t="array" ref="C6">_xlfn.XLOOKUP(1, ([1]Sheet1!$A$2:$A$497 = [1]Sheet2!A6) * ([1]Sheet1!$B$2:$B$497 = [1]Sheet2!B6), [1]Sheet1!$D$2:$D$497, "")</f>
        <v>'Claire Smedley' &lt;csmedley@vonseidels.com&gt;; 'Chandré Arendse' &lt;cbarendse@vonseidels.com&gt;; poliver@vonseidels.com</v>
      </c>
      <c r="D6" s="15"/>
      <c r="E6" s="15" t="str" cm="1">
        <f t="array" ref="E6">_xlfn.XLOOKUP(1, ([1]Sheet1!$A$2:$A$497 = [1]Sheet2!A6) * ([1]Sheet1!$B$2:$B$497 = [1]Sheet2!B6), [1]Sheet1!$C$2:$C$497, "")</f>
        <v>Djibouti</v>
      </c>
    </row>
    <row r="7" spans="1:5" s="13" customFormat="1" ht="22.5">
      <c r="A7" s="9" t="s">
        <v>306</v>
      </c>
      <c r="B7" s="16" t="s">
        <v>339</v>
      </c>
      <c r="C7" s="15" t="str" cm="1">
        <f t="array" ref="C7">_xlfn.XLOOKUP(1, ([1]Sheet1!$A$2:$A$497 = [1]Sheet2!A7) * ([1]Sheet1!$B$2:$B$497 = [1]Sheet2!B7), [1]Sheet1!$D$2:$D$497, "")</f>
        <v>trademarks@castillo.com.do</v>
      </c>
      <c r="D7" s="15"/>
      <c r="E7" s="15" t="str" cm="1">
        <f t="array" ref="E7">_xlfn.XLOOKUP(1, ([1]Sheet1!$A$2:$A$497 = [1]Sheet2!A7) * ([1]Sheet1!$B$2:$B$497 = [1]Sheet2!B7), [1]Sheet1!$C$2:$C$497, "")</f>
        <v>Dominican Republic</v>
      </c>
    </row>
    <row r="8" spans="1:5" s="13" customFormat="1" ht="13.5">
      <c r="A8" s="9" t="s">
        <v>307</v>
      </c>
      <c r="B8" s="10" t="s">
        <v>299</v>
      </c>
      <c r="C8" s="15" t="str" cm="1">
        <f t="array" ref="C8">_xlfn.XLOOKUP(1, ([1]Sheet1!$A$2:$A$497 = [1]Sheet2!A8) * ([1]Sheet1!$B$2:$B$497 = [1]Sheet2!B8), [1]Sheet1!$D$2:$D$497, "")</f>
        <v>'Claire Smedley' &lt;csmedley@vonseidels.com&gt;; 'Chandré Arendse' &lt;cbarendse@vonseidels.com&gt;; poliver@vonseidels.com</v>
      </c>
      <c r="D8" s="15"/>
      <c r="E8" s="15" t="str" cm="1">
        <f t="array" ref="E8">_xlfn.XLOOKUP(1, ([1]Sheet1!$A$2:$A$497 = [1]Sheet2!A8) * ([1]Sheet1!$B$2:$B$497 = [1]Sheet2!B8), [1]Sheet1!$C$2:$C$497, "")</f>
        <v>Ethiopia</v>
      </c>
    </row>
    <row r="9" spans="1:5" s="13" customFormat="1" ht="13.5">
      <c r="A9" s="9" t="s">
        <v>308</v>
      </c>
      <c r="B9" s="10" t="s">
        <v>299</v>
      </c>
      <c r="C9" s="15" t="str" cm="1">
        <f t="array" ref="C9">_xlfn.XLOOKUP(1, ([1]Sheet1!$A$2:$A$497 = [1]Sheet2!A9) * ([1]Sheet1!$B$2:$B$497 = [1]Sheet2!B9), [1]Sheet1!$D$2:$D$497, "")</f>
        <v>'Claire Smedley' &lt;csmedley@vonseidels.com&gt;; 'Chandré Arendse' &lt;cbarendse@vonseidels.com&gt;; poliver@vonseidels.com</v>
      </c>
      <c r="D9" s="15"/>
      <c r="E9" s="15" t="str" cm="1">
        <f t="array" ref="E9">_xlfn.XLOOKUP(1, ([1]Sheet1!$A$2:$A$497 = [1]Sheet2!A9) * ([1]Sheet1!$B$2:$B$497 = [1]Sheet2!B9), [1]Sheet1!$C$2:$C$497, "")</f>
        <v>Ghana</v>
      </c>
    </row>
    <row r="10" spans="1:5" s="13" customFormat="1" ht="13.5">
      <c r="A10" s="9" t="s">
        <v>309</v>
      </c>
      <c r="B10" s="10" t="s">
        <v>299</v>
      </c>
      <c r="C10" s="15" t="str" cm="1">
        <f t="array" ref="C10">_xlfn.XLOOKUP(1, ([1]Sheet1!$A$2:$A$497 = [1]Sheet2!A10) * ([1]Sheet1!$B$2:$B$497 = [1]Sheet2!B10), [1]Sheet1!$D$2:$D$497, "")</f>
        <v>'Claire Smedley' &lt;csmedley@vonseidels.com&gt;; 'Chandré Arendse' &lt;cbarendse@vonseidels.com&gt;; poliver@vonseidels.com</v>
      </c>
      <c r="D10" s="15"/>
      <c r="E10" s="15" t="str" cm="1">
        <f t="array" ref="E10">_xlfn.XLOOKUP(1, ([1]Sheet1!$A$2:$A$497 = [1]Sheet2!A10) * ([1]Sheet1!$B$2:$B$497 = [1]Sheet2!B10), [1]Sheet1!$C$2:$C$497, "")</f>
        <v>Gambia</v>
      </c>
    </row>
    <row r="11" spans="1:5" s="13" customFormat="1" ht="13.5">
      <c r="A11" s="9" t="s">
        <v>310</v>
      </c>
      <c r="B11" s="10" t="s">
        <v>299</v>
      </c>
      <c r="C11" s="15" t="str" cm="1">
        <f t="array" ref="C11">_xlfn.XLOOKUP(1, ([1]Sheet1!$A$2:$A$497 = [1]Sheet2!A11) * ([1]Sheet1!$B$2:$B$497 = [1]Sheet2!B11), [1]Sheet1!$D$2:$D$497, "")</f>
        <v>'Claire Smedley' &lt;csmedley@vonseidels.com&gt;; 'Chandré Arendse' &lt;cbarendse@vonseidels.com&gt;; poliver@vonseidels.com</v>
      </c>
      <c r="D11" s="15"/>
      <c r="E11" s="15" t="str" cm="1">
        <f t="array" ref="E11">_xlfn.XLOOKUP(1, ([1]Sheet1!$A$2:$A$497 = [1]Sheet2!A11) * ([1]Sheet1!$B$2:$B$497 = [1]Sheet2!B11), [1]Sheet1!$C$2:$C$497, "")</f>
        <v>Kenya</v>
      </c>
    </row>
    <row r="12" spans="1:5" s="13" customFormat="1" ht="13.5">
      <c r="A12" s="9" t="s">
        <v>311</v>
      </c>
      <c r="B12" s="10" t="s">
        <v>299</v>
      </c>
      <c r="C12" s="15" t="str" cm="1">
        <f t="array" ref="C12">_xlfn.XLOOKUP(1, ([1]Sheet1!$A$2:$A$497 = [1]Sheet2!A12) * ([1]Sheet1!$B$2:$B$497 = [1]Sheet2!B12), [1]Sheet1!$D$2:$D$497, "")</f>
        <v>'Claire Smedley' &lt;csmedley@vonseidels.com&gt;; 'Chandré Arendse' &lt;cbarendse@vonseidels.com&gt;; poliver@vonseidels.com</v>
      </c>
      <c r="D12" s="15"/>
      <c r="E12" s="15" t="str" cm="1">
        <f t="array" ref="E12">_xlfn.XLOOKUP(1, ([1]Sheet1!$A$2:$A$497 = [1]Sheet2!A12) * ([1]Sheet1!$B$2:$B$497 = [1]Sheet2!B12), [1]Sheet1!$C$2:$C$497, "")</f>
        <v>Liberia</v>
      </c>
    </row>
    <row r="13" spans="1:5" s="13" customFormat="1" ht="13.5">
      <c r="A13" s="9" t="s">
        <v>312</v>
      </c>
      <c r="B13" s="10" t="s">
        <v>301</v>
      </c>
      <c r="C13" s="15" t="str" cm="1">
        <f t="array" ref="C13">_xlfn.XLOOKUP(1, ([1]Sheet1!$A$2:$A$497 = [1]Sheet2!A13) * ([1]Sheet1!$B$2:$B$497 = [1]Sheet2!B13), [1]Sheet1!$D$2:$D$497, "")</f>
        <v>info@ensafrica.com; rforster@ensafrica.com</v>
      </c>
      <c r="D13" s="15"/>
      <c r="E13" s="15" t="str" cm="1">
        <f t="array" ref="E13">_xlfn.XLOOKUP(1, ([1]Sheet1!$A$2:$A$497 = [1]Sheet2!A13) * ([1]Sheet1!$B$2:$B$497 = [1]Sheet2!B13), [1]Sheet1!$C$2:$C$497, "")</f>
        <v>Madagascar</v>
      </c>
    </row>
    <row r="14" spans="1:5" s="13" customFormat="1" ht="27">
      <c r="A14" s="9" t="s">
        <v>313</v>
      </c>
      <c r="B14" s="10" t="s">
        <v>314</v>
      </c>
      <c r="C14" s="15" t="str" cm="1">
        <f t="array" ref="C14">_xlfn.XLOOKUP(1, ([1]Sheet1!$A$2:$A$497 = [1]Sheet2!A14) * ([1]Sheet1!$B$2:$B$497 = [1]Sheet2!B14), [1]Sheet1!$D$2:$D$497, "")</f>
        <v>Khin Myo Myo Aye &lt;khinmyomyoaye@tilleke.com&gt;; mm.docketing@tilleke.com</v>
      </c>
      <c r="D14" s="15"/>
      <c r="E14" s="15" t="str" cm="1">
        <f t="array" ref="E14">_xlfn.XLOOKUP(1, ([1]Sheet1!$A$2:$A$497 = [1]Sheet2!A14) * ([1]Sheet1!$B$2:$B$497 = [1]Sheet2!B14), [1]Sheet1!$C$2:$C$497, "")</f>
        <v>Myanmar (Burma)</v>
      </c>
    </row>
    <row r="15" spans="1:5" s="13" customFormat="1" ht="13.5">
      <c r="A15" s="9" t="s">
        <v>315</v>
      </c>
      <c r="B15" s="10" t="s">
        <v>301</v>
      </c>
      <c r="C15" s="15" t="str" cm="1">
        <f t="array" ref="C15">_xlfn.XLOOKUP(1, ([1]Sheet1!$A$2:$A$497 = [1]Sheet2!A15) * ([1]Sheet1!$B$2:$B$497 = [1]Sheet2!B15), [1]Sheet1!$D$2:$D$497, "")</f>
        <v>info@ensafrica.com; rforster@ensafrica.com</v>
      </c>
      <c r="D15" s="15"/>
      <c r="E15" s="15" t="str" cm="1">
        <f t="array" ref="E15">_xlfn.XLOOKUP(1, ([1]Sheet1!$A$2:$A$497 = [1]Sheet2!A15) * ([1]Sheet1!$B$2:$B$497 = [1]Sheet2!B15), [1]Sheet1!$C$2:$C$497, "")</f>
        <v>Mauritius</v>
      </c>
    </row>
    <row r="16" spans="1:5" s="13" customFormat="1" ht="13.5">
      <c r="A16" s="9" t="s">
        <v>316</v>
      </c>
      <c r="B16" s="10" t="s">
        <v>301</v>
      </c>
      <c r="C16" s="15" t="str" cm="1">
        <f t="array" ref="C16">_xlfn.XLOOKUP(1, ([1]Sheet1!$A$2:$A$497 = [1]Sheet2!A16) * ([1]Sheet1!$B$2:$B$497 = [1]Sheet2!B16), [1]Sheet1!$D$2:$D$497, "")</f>
        <v>info@ensafrica.com; rforster@ensafrica.com</v>
      </c>
      <c r="D16" s="15"/>
      <c r="E16" s="15" t="str" cm="1">
        <f t="array" ref="E16">_xlfn.XLOOKUP(1, ([1]Sheet1!$A$2:$A$497 = [1]Sheet2!A16) * ([1]Sheet1!$B$2:$B$497 = [1]Sheet2!B16), [1]Sheet1!$C$2:$C$497, "")</f>
        <v>Malawi</v>
      </c>
    </row>
    <row r="17" spans="1:5" s="13" customFormat="1" ht="13.5">
      <c r="A17" s="9" t="s">
        <v>317</v>
      </c>
      <c r="B17" s="10" t="s">
        <v>301</v>
      </c>
      <c r="C17" s="15" t="str" cm="1">
        <f t="array" ref="C17">_xlfn.XLOOKUP(1, ([1]Sheet1!$A$2:$A$497 = [1]Sheet2!A17) * ([1]Sheet1!$B$2:$B$497 = [1]Sheet2!B17), [1]Sheet1!$D$2:$D$497, "")</f>
        <v>info@ensafrica.com; rforster@ensafrica.com</v>
      </c>
      <c r="D17" s="15"/>
      <c r="E17" s="15" t="str" cm="1">
        <f t="array" ref="E17">_xlfn.XLOOKUP(1, ([1]Sheet1!$A$2:$A$497 = [1]Sheet2!A17) * ([1]Sheet1!$B$2:$B$497 = [1]Sheet2!B17), [1]Sheet1!$C$2:$C$497, "")</f>
        <v>Mozambique</v>
      </c>
    </row>
    <row r="18" spans="1:5" s="13" customFormat="1" ht="13.5">
      <c r="A18" s="9" t="s">
        <v>318</v>
      </c>
      <c r="B18" s="10" t="s">
        <v>301</v>
      </c>
      <c r="C18" s="15" t="str" cm="1">
        <f t="array" ref="C18">_xlfn.XLOOKUP(1, ([1]Sheet1!$A$2:$A$497 = [1]Sheet2!A18) * ([1]Sheet1!$B$2:$B$497 = [1]Sheet2!B18), [1]Sheet1!$D$2:$D$497, "")</f>
        <v>info@ensafrica.com; rforster@ensafrica.com</v>
      </c>
      <c r="D18" s="15"/>
      <c r="E18" s="15" t="str" cm="1">
        <f t="array" ref="E18">_xlfn.XLOOKUP(1, ([1]Sheet1!$A$2:$A$497 = [1]Sheet2!A18) * ([1]Sheet1!$B$2:$B$497 = [1]Sheet2!B18), [1]Sheet1!$C$2:$C$497, "")</f>
        <v>Namibia</v>
      </c>
    </row>
    <row r="19" spans="1:5" s="13" customFormat="1" ht="13.5">
      <c r="A19" s="9" t="s">
        <v>319</v>
      </c>
      <c r="B19" s="10" t="s">
        <v>299</v>
      </c>
      <c r="C19" s="15" t="str" cm="1">
        <f t="array" ref="C19">_xlfn.XLOOKUP(1, ([1]Sheet1!$A$2:$A$497 = [1]Sheet2!A19) * ([1]Sheet1!$B$2:$B$497 = [1]Sheet2!B19), [1]Sheet1!$D$2:$D$497, "")</f>
        <v>'Claire Smedley' &lt;csmedley@vonseidels.com&gt;; 'Chandré Arendse' &lt;cbarendse@vonseidels.com&gt;; poliver@vonseidels.com</v>
      </c>
      <c r="D19" s="15"/>
      <c r="E19" s="15" t="str" cm="1">
        <f t="array" ref="E19">_xlfn.XLOOKUP(1, ([1]Sheet1!$A$2:$A$497 = [1]Sheet2!A19) * ([1]Sheet1!$B$2:$B$497 = [1]Sheet2!B19), [1]Sheet1!$C$2:$C$497, "")</f>
        <v>Nigeria</v>
      </c>
    </row>
    <row r="20" spans="1:5" s="13" customFormat="1" ht="45">
      <c r="A20" s="9" t="s">
        <v>320</v>
      </c>
      <c r="B20" s="16" t="s">
        <v>340</v>
      </c>
      <c r="C20" s="15" t="str" cm="1">
        <f t="array" ref="C20">_xlfn.XLOOKUP(1, ([1]Sheet1!$A$2:$A$497 = [1]Sheet2!A20) * ([1]Sheet1!$B$2:$B$497 = [1]Sheet2!B20), [1]Sheet1!$D$2:$D$497, "")</f>
        <v>info guybendana.com.ni &lt;info@guybendana.com.ni&gt;; ipprosecution guybendana.com.ni &lt;ipprosecution@guybendana.com.ni&gt;; attorney guybendana.com.ni &lt;attorney@guybendana.com.ni&gt;</v>
      </c>
      <c r="D20" s="15"/>
      <c r="E20" s="15" t="str" cm="1">
        <f t="array" ref="E20">_xlfn.XLOOKUP(1, ([1]Sheet1!$A$2:$A$497 = [1]Sheet2!A20) * ([1]Sheet1!$B$2:$B$497 = [1]Sheet2!B20), [1]Sheet1!$C$2:$C$497, "")</f>
        <v>Nicaragua</v>
      </c>
    </row>
    <row r="21" spans="1:5" s="13" customFormat="1" ht="13.5">
      <c r="A21" s="9" t="s">
        <v>321</v>
      </c>
      <c r="B21" s="10" t="s">
        <v>299</v>
      </c>
      <c r="C21" s="15" t="str" cm="1">
        <f t="array" ref="C21">_xlfn.XLOOKUP(1, ([1]Sheet1!$A$2:$A$497 = [1]Sheet2!A21) * ([1]Sheet1!$B$2:$B$497 = [1]Sheet2!B21), [1]Sheet1!$D$2:$D$497, "")</f>
        <v>'Claire Smedley' &lt;csmedley@vonseidels.com&gt;; 'Chandré Arendse' &lt;cbarendse@vonseidels.com&gt;; poliver@vonseidels.com</v>
      </c>
      <c r="D21" s="15"/>
      <c r="E21" s="15" t="str" cm="1">
        <f t="array" ref="E21">_xlfn.XLOOKUP(1, ([1]Sheet1!$A$2:$A$497 = [1]Sheet2!A21) * ([1]Sheet1!$B$2:$B$497 = [1]Sheet2!B21), [1]Sheet1!$C$2:$C$497, "")</f>
        <v>OAPI (African Intellectual Property Organization)</v>
      </c>
    </row>
    <row r="22" spans="1:5" s="13" customFormat="1" ht="22.5">
      <c r="A22" s="9" t="s">
        <v>322</v>
      </c>
      <c r="B22" s="16" t="s">
        <v>304</v>
      </c>
      <c r="C22" s="15" t="str" cm="1">
        <f t="array" ref="C22">_xlfn.XLOOKUP(1, ([1]Sheet1!$A$2:$A$497 = [1]Sheet2!A22) * ([1]Sheet1!$B$2:$B$497 = [1]Sheet2!B22), [1]Sheet1!$D$2:$D$497, "")</f>
        <v>Castellanos &amp; CO &lt;castellanos@castellanosyco.co&gt;</v>
      </c>
      <c r="D22" s="15"/>
      <c r="E22" s="15" t="str" cm="1">
        <f t="array" ref="E22">_xlfn.XLOOKUP(1, ([1]Sheet1!$A$2:$A$497 = [1]Sheet2!A22) * ([1]Sheet1!$B$2:$B$497 = [1]Sheet2!B22), [1]Sheet1!$C$2:$C$497, "")</f>
        <v>Panama</v>
      </c>
    </row>
    <row r="23" spans="1:5" s="13" customFormat="1" ht="13.5">
      <c r="A23" s="9" t="s">
        <v>323</v>
      </c>
      <c r="B23" s="10" t="s">
        <v>299</v>
      </c>
      <c r="C23" s="15" t="str" cm="1">
        <f t="array" ref="C23">_xlfn.XLOOKUP(1, ([1]Sheet1!$A$2:$A$497 = [1]Sheet2!A23) * ([1]Sheet1!$B$2:$B$497 = [1]Sheet2!B23), [1]Sheet1!$D$2:$D$497, "")</f>
        <v>'Claire Smedley' &lt;csmedley@vonseidels.com&gt;; 'Chandré Arendse' &lt;cbarendse@vonseidels.com&gt;; poliver@vonseidels.com</v>
      </c>
      <c r="D23" s="15"/>
      <c r="E23" s="15" t="str" cm="1">
        <f t="array" ref="E23">_xlfn.XLOOKUP(1, ([1]Sheet1!$A$2:$A$497 = [1]Sheet2!A23) * ([1]Sheet1!$B$2:$B$497 = [1]Sheet2!B23), [1]Sheet1!$C$2:$C$497, "")</f>
        <v>Sudan</v>
      </c>
    </row>
    <row r="24" spans="1:5" s="13" customFormat="1" ht="13.5">
      <c r="A24" s="9" t="s">
        <v>324</v>
      </c>
      <c r="B24" s="10" t="s">
        <v>299</v>
      </c>
      <c r="C24" s="15" t="str" cm="1">
        <f t="array" ref="C24">_xlfn.XLOOKUP(1, ([1]Sheet1!$A$2:$A$497 = [1]Sheet2!A24) * ([1]Sheet1!$B$2:$B$497 = [1]Sheet2!B24), [1]Sheet1!$D$2:$D$497, "")</f>
        <v>'Claire Smedley' &lt;csmedley@vonseidels.com&gt;; 'Chandré Arendse' &lt;cbarendse@vonseidels.com&gt;; poliver@vonseidels.com</v>
      </c>
      <c r="D24" s="15"/>
      <c r="E24" s="15" t="str" cm="1">
        <f t="array" ref="E24">_xlfn.XLOOKUP(1, ([1]Sheet1!$A$2:$A$497 = [1]Sheet2!A24) * ([1]Sheet1!$B$2:$B$497 = [1]Sheet2!B24), [1]Sheet1!$C$2:$C$497, "")</f>
        <v>Somalia</v>
      </c>
    </row>
    <row r="25" spans="1:5" s="13" customFormat="1" ht="13.5">
      <c r="A25" s="9" t="s">
        <v>325</v>
      </c>
      <c r="B25" s="10" t="s">
        <v>299</v>
      </c>
      <c r="C25" s="15" t="str" cm="1">
        <f t="array" ref="C25">_xlfn.XLOOKUP(1, ([1]Sheet1!$A$2:$A$497 = [1]Sheet2!A25) * ([1]Sheet1!$B$2:$B$497 = [1]Sheet2!B25), [1]Sheet1!$D$2:$D$497, "")</f>
        <v>'Claire Smedley' &lt;csmedley@vonseidels.com&gt;; 'Chandré Arendse' &lt;cbarendse@vonseidels.com&gt;; poliver@vonseidels.com</v>
      </c>
      <c r="D25" s="15"/>
      <c r="E25" s="15" t="str" cm="1">
        <f t="array" ref="E25">_xlfn.XLOOKUP(1, ([1]Sheet1!$A$2:$A$497 = [1]Sheet2!A25) * ([1]Sheet1!$B$2:$B$497 = [1]Sheet2!B25), [1]Sheet1!$C$2:$C$497, "")</f>
        <v>Tanzania (Tanganyika)</v>
      </c>
    </row>
    <row r="26" spans="1:5" s="13" customFormat="1" ht="13.5">
      <c r="A26" s="9" t="s">
        <v>326</v>
      </c>
      <c r="B26" s="10" t="s">
        <v>299</v>
      </c>
      <c r="C26" s="15" t="str" cm="1">
        <f t="array" ref="C26">_xlfn.XLOOKUP(1, ([1]Sheet1!$A$2:$A$497 = [1]Sheet2!A26) * ([1]Sheet1!$B$2:$B$497 = [1]Sheet2!B26), [1]Sheet1!$D$2:$D$497, "")</f>
        <v>'Claire Smedley' &lt;csmedley@vonseidels.com&gt;; 'Chandré Arendse' &lt;cbarendse@vonseidels.com&gt;; poliver@vonseidels.com</v>
      </c>
      <c r="D26" s="15"/>
      <c r="E26" s="15" t="str" cm="1">
        <f t="array" ref="E26">_xlfn.XLOOKUP(1, ([1]Sheet1!$A$2:$A$497 = [1]Sheet2!A26) * ([1]Sheet1!$B$2:$B$497 = [1]Sheet2!B26), [1]Sheet1!$C$2:$C$497, "")</f>
        <v>Uganda</v>
      </c>
    </row>
    <row r="27" spans="1:5" s="13" customFormat="1" ht="13.5">
      <c r="A27" s="9" t="s">
        <v>327</v>
      </c>
      <c r="B27" s="10" t="s">
        <v>328</v>
      </c>
      <c r="C27" s="15" t="str" cm="1">
        <f t="array" ref="C27">_xlfn.XLOOKUP(1, ([1]Sheet1!$A$2:$A$497 = [1]Sheet2!A27) * ([1]Sheet1!$B$2:$B$497 = [1]Sheet2!B27), [1]Sheet1!$D$2:$D$497, "")</f>
        <v>Nguyen Thuy Hong' &lt;nt.hong@vision-associates.com&gt;; 'Nguyen Thi Thu Ha' &lt;ntt.ha1@vision-associates.com&gt;</v>
      </c>
      <c r="D27" s="15"/>
      <c r="E27" s="15" t="str" cm="1">
        <f t="array" ref="E27">_xlfn.XLOOKUP(1, ([1]Sheet1!$A$2:$A$497 = [1]Sheet2!A27) * ([1]Sheet1!$B$2:$B$497 = [1]Sheet2!B27), [1]Sheet1!$C$2:$C$497, "")</f>
        <v>Vietnam</v>
      </c>
    </row>
    <row r="28" spans="1:5" s="13" customFormat="1" ht="13.5">
      <c r="A28" s="9" t="s">
        <v>329</v>
      </c>
      <c r="B28" s="10" t="s">
        <v>299</v>
      </c>
      <c r="C28" s="15" t="str" cm="1">
        <f t="array" ref="C28">_xlfn.XLOOKUP(1, ([1]Sheet1!$A$2:$A$497 = [1]Sheet2!A28) * ([1]Sheet1!$B$2:$B$497 = [1]Sheet2!B28), [1]Sheet1!$D$2:$D$497, "")</f>
        <v>'Claire Smedley' &lt;csmedley@vonseidels.com&gt;; 'Chandré Arendse' &lt;cbarendse@vonseidels.com&gt;; poliver@vonseidels.com</v>
      </c>
      <c r="D28" s="15"/>
      <c r="E28" s="15" t="str" cm="1">
        <f t="array" ref="E28">_xlfn.XLOOKUP(1, ([1]Sheet1!$A$2:$A$497 = [1]Sheet2!A28) * ([1]Sheet1!$B$2:$B$497 = [1]Sheet2!B28), [1]Sheet1!$C$2:$C$497, "")</f>
        <v>South Africa</v>
      </c>
    </row>
    <row r="29" spans="1:5" s="13" customFormat="1" ht="13.5">
      <c r="A29" s="9" t="s">
        <v>330</v>
      </c>
      <c r="B29" s="10" t="s">
        <v>301</v>
      </c>
      <c r="C29" s="15" t="str" cm="1">
        <f t="array" ref="C29">_xlfn.XLOOKUP(1, ([1]Sheet1!$A$2:$A$497 = [1]Sheet2!A29) * ([1]Sheet1!$B$2:$B$497 = [1]Sheet2!B29), [1]Sheet1!$D$2:$D$497, "")</f>
        <v>info@ensafrica.com; rforster@ensafrica.com</v>
      </c>
      <c r="D29" s="15"/>
      <c r="E29" s="15" t="str" cm="1">
        <f t="array" ref="E29">_xlfn.XLOOKUP(1, ([1]Sheet1!$A$2:$A$497 = [1]Sheet2!A29) * ([1]Sheet1!$B$2:$B$497 = [1]Sheet2!B29), [1]Sheet1!$C$2:$C$497, "")</f>
        <v>Zambia</v>
      </c>
    </row>
    <row r="30" spans="1:5" s="13" customFormat="1" ht="13.5">
      <c r="A30" s="9" t="s">
        <v>331</v>
      </c>
      <c r="B30" s="10" t="s">
        <v>301</v>
      </c>
      <c r="C30" s="15" t="str" cm="1">
        <f t="array" ref="C30">_xlfn.XLOOKUP(1, ([1]Sheet1!$A$2:$A$497 = [1]Sheet2!A30) * ([1]Sheet1!$B$2:$B$497 = [1]Sheet2!B30), [1]Sheet1!$D$2:$D$497, "")</f>
        <v>info@ensafrica.com; rforster@ensafrica.com</v>
      </c>
      <c r="D30" s="15"/>
      <c r="E30" s="15" t="str" cm="1">
        <f t="array" ref="E30">_xlfn.XLOOKUP(1, ([1]Sheet1!$A$2:$A$497 = [1]Sheet2!A30) * ([1]Sheet1!$B$2:$B$497 = [1]Sheet2!B30), [1]Sheet1!$C$2:$C$497, "")</f>
        <v>Zimbabwe</v>
      </c>
    </row>
    <row r="31" spans="1:5" s="13" customFormat="1" ht="13.5">
      <c r="A31" s="9" t="s">
        <v>332</v>
      </c>
      <c r="B31" s="10" t="s">
        <v>299</v>
      </c>
      <c r="C31" s="15" t="str" cm="1">
        <f t="array" ref="C31">_xlfn.XLOOKUP(1, ([1]Sheet1!$A$2:$A$497 = [1]Sheet2!A31) * ([1]Sheet1!$B$2:$B$497 = [1]Sheet2!B31), [1]Sheet1!$D$2:$D$497, "")</f>
        <v>'Claire Smedley' &lt;csmedley@vonseidels.com&gt;; 'Chandré Arendse' &lt;cbarendse@vonseidels.com&gt;; poliver@vonseidels.com</v>
      </c>
      <c r="D31" s="15"/>
      <c r="E31" s="15" t="str" cm="1">
        <f t="array" ref="E31">_xlfn.XLOOKUP(1, ([1]Sheet1!$A$2:$A$497 = [1]Sheet2!A31) * ([1]Sheet1!$B$2:$B$497 = [1]Sheet2!B31), [1]Sheet1!$C$2:$C$497, "")</f>
        <v>Tanzania (Zanzibar)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기범 김</dc:creator>
  <cp:lastModifiedBy>기범 김</cp:lastModifiedBy>
  <dcterms:created xsi:type="dcterms:W3CDTF">2025-11-20T02:03:01Z</dcterms:created>
  <dcterms:modified xsi:type="dcterms:W3CDTF">2025-11-20T02:43:31Z</dcterms:modified>
</cp:coreProperties>
</file>