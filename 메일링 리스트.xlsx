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81B4FDD7237A0D/특허법인 성암/메일 머지/"/>
    </mc:Choice>
  </mc:AlternateContent>
  <xr:revisionPtr revIDLastSave="89" documentId="8_{BCB5C5F6-D3A3-43DC-98D1-DBEF06F4C192}" xr6:coauthVersionLast="47" xr6:coauthVersionMax="47" xr10:uidLastSave="{57CF3262-53D9-454C-B943-64998D2A4A29}"/>
  <bookViews>
    <workbookView xWindow="-120" yWindow="-120" windowWidth="29040" windowHeight="15720" xr2:uid="{A3235E50-4750-42DF-8770-94D5AFBADE1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B4" i="2"/>
  <c r="C4" i="2"/>
  <c r="D4" i="2"/>
  <c r="E4" i="2"/>
  <c r="B5" i="2"/>
  <c r="C5" i="2"/>
  <c r="D5" i="2"/>
  <c r="E5" i="2"/>
  <c r="B6" i="2"/>
  <c r="C6" i="2"/>
  <c r="D6" i="2"/>
  <c r="E6" i="2"/>
  <c r="B7" i="2"/>
  <c r="C7" i="2"/>
  <c r="D7" i="2"/>
  <c r="E7" i="2"/>
  <c r="E2" i="2"/>
  <c r="D2" i="2"/>
  <c r="C2" i="2"/>
  <c r="B2" i="2"/>
</calcChain>
</file>

<file path=xl/sharedStrings.xml><?xml version="1.0" encoding="utf-8"?>
<sst xmlns="http://schemas.openxmlformats.org/spreadsheetml/2006/main" count="198" uniqueCount="137">
  <si>
    <t>GREENBERG</t>
    <phoneticPr fontId="3" type="noConversion"/>
  </si>
  <si>
    <t>CASALONGA</t>
  </si>
  <si>
    <t>LIU</t>
  </si>
  <si>
    <t>R&amp;C</t>
  </si>
  <si>
    <t>DE PENNING</t>
  </si>
  <si>
    <t>trademark53@sungmapat.com</t>
    <phoneticPr fontId="3" type="noConversion"/>
  </si>
  <si>
    <t>SchlossD@gtlaw.com; kimc@gtlaw.com; EDLINR@gtlaw.com; JongIn.Son@gtlaw.com; SchlossD@gtlaw.com</t>
    <phoneticPr fontId="3" type="noConversion"/>
  </si>
  <si>
    <t>jeongh.shim@samsung.com; shjeon@sungampat.com; trademark@sungampat.com; trademark16@sungampat.com; trademark28@sungampat.com</t>
    <phoneticPr fontId="3" type="noConversion"/>
  </si>
  <si>
    <t>Claire de DEMANDOLX (Casalonga)' &lt;c.demandolx@casalonga.com&gt;; 'Elsa TROMBITAS (Casalonga)' &lt;e.trombitas@casalonga.com&gt;; 'Karina DIMIDJIAN-LECOMTE (Casalonga)' &lt;k.dimidjian@casalonga.com&gt;; 'Laurent CAVALLIER (Casalonga)' &lt;l.cavallier@casalonga.com&gt;; 'Klervi HENRY (Casalonga)' &lt;k.henry@casalonga.com&gt;; 'Monica FERREIRA (Casalonga)' &lt;m.ferreira@casalonga.com&gt;</t>
    <phoneticPr fontId="3" type="noConversion"/>
  </si>
  <si>
    <t>yuanmab@liu-shen.com; yuanyuan@liu-shen.com</t>
  </si>
  <si>
    <t>'Seiji OTA' &lt;seiji.ota@rc-iplaw.com&gt;; trademark@rc-iplaw.com; 'Sonoko ARAKI' &lt;sonoko.araki@rc-iplaw.com&gt;</t>
  </si>
  <si>
    <t>Paramita.Nandy@depenning.com; Ruchi.Singh@depenning.com</t>
    <phoneticPr fontId="3" type="noConversion"/>
  </si>
  <si>
    <t>US</t>
  </si>
  <si>
    <t>FR</t>
  </si>
  <si>
    <t>CN</t>
  </si>
  <si>
    <t>JP</t>
  </si>
  <si>
    <t>IN</t>
  </si>
  <si>
    <t>DM</t>
  </si>
  <si>
    <t>EC</t>
  </si>
  <si>
    <t>HN</t>
  </si>
  <si>
    <t>HT</t>
  </si>
  <si>
    <t>DO</t>
  </si>
  <si>
    <t>UY</t>
  </si>
  <si>
    <t>PE</t>
  </si>
  <si>
    <t>EL</t>
    <phoneticPr fontId="2" type="noConversion"/>
  </si>
  <si>
    <t>NI</t>
  </si>
  <si>
    <t>BM</t>
  </si>
  <si>
    <t>MV</t>
  </si>
  <si>
    <t>TO</t>
  </si>
  <si>
    <t>KY</t>
  </si>
  <si>
    <t>PU</t>
    <phoneticPr fontId="2" type="noConversion"/>
  </si>
  <si>
    <t>CR</t>
  </si>
  <si>
    <t>BD</t>
  </si>
  <si>
    <t>KN</t>
  </si>
  <si>
    <t>NP</t>
  </si>
  <si>
    <t>GY</t>
  </si>
  <si>
    <t>VE</t>
  </si>
  <si>
    <t>Dominica</t>
  </si>
  <si>
    <t>asesoresip@asesoresdelcaribe.com</t>
    <phoneticPr fontId="3" type="noConversion"/>
  </si>
  <si>
    <t>shjeon@sungampat.com; trademark@sungampat.com; trademark16@sungampat.com; trademark28@sungampat.com</t>
    <phoneticPr fontId="3" type="noConversion"/>
  </si>
  <si>
    <t>Ecuador</t>
  </si>
  <si>
    <t>mail@bermeolaw.com</t>
    <phoneticPr fontId="3" type="noConversion"/>
  </si>
  <si>
    <t>rbr@bermeolaw.com; shjeon@sungampat.com; trademark@sungampat.com; trademark16@sungampat.com; trademark28@sungampat.com</t>
    <phoneticPr fontId="3" type="noConversion"/>
  </si>
  <si>
    <t>Honduras</t>
  </si>
  <si>
    <t xml:space="preserve">ipadmin1@bufetemejia.com </t>
    <phoneticPr fontId="3" type="noConversion"/>
  </si>
  <si>
    <t>clientsupport@bufetemejia.com; shjeon@sungampat.com; trademark@sungampat.com; trademark16@sungampat.com; trademark28@sungampat.com</t>
    <phoneticPr fontId="3" type="noConversion"/>
  </si>
  <si>
    <t>Haiti</t>
  </si>
  <si>
    <t>trademarks@cabinetsales.com; spaul@cabinetsales.com</t>
    <phoneticPr fontId="3" type="noConversion"/>
  </si>
  <si>
    <t>Dominican Republic</t>
  </si>
  <si>
    <t>trademarks@castillo.com.do</t>
    <phoneticPr fontId="3" type="noConversion"/>
  </si>
  <si>
    <t>Uruguay</t>
  </si>
  <si>
    <t>matias.cikato@cikato.com.uy</t>
    <phoneticPr fontId="3" type="noConversion"/>
  </si>
  <si>
    <t>cikato@cikato.com.uy; shjeon@sungampat.com; trademark@sungampat.com; trademark16@sungampat.com; trademark28@sungampat.com</t>
    <phoneticPr fontId="3" type="noConversion"/>
  </si>
  <si>
    <t>Peru</t>
  </si>
  <si>
    <t>El Salvador</t>
  </si>
  <si>
    <t>mcarrillo@eproint.com</t>
    <phoneticPr fontId="3" type="noConversion"/>
  </si>
  <si>
    <t>eportal@eproint.com; shjeon@sungampat.com; trademark@sungampat.com; trademark16@sungampat.com; trademark28@sungampat.com</t>
    <phoneticPr fontId="3" type="noConversion"/>
  </si>
  <si>
    <t>Nicaragua</t>
  </si>
  <si>
    <t>info guybendana.com.ni &lt;info@guybendana.com.ni&gt;; ipprosecution guybendana.com.ni &lt;ipprosecution@guybendana.com.ni&gt;; attorney guybendana.com.ni &lt;attorney@guybendana.com.ni&gt;</t>
    <phoneticPr fontId="3" type="noConversion"/>
  </si>
  <si>
    <t>Bermuda</t>
  </si>
  <si>
    <t>ukhan@hilbornehawkin.com; Info@hilbornehawkin.com</t>
    <phoneticPr fontId="3" type="noConversion"/>
  </si>
  <si>
    <t>Maldives</t>
  </si>
  <si>
    <t>Tonga</t>
  </si>
  <si>
    <t>Cayman Islands</t>
  </si>
  <si>
    <t>kcleary@hsmoffice.com</t>
    <phoneticPr fontId="3" type="noConversion"/>
  </si>
  <si>
    <t>특허법인 성암/전숙현 변리사' &lt;shjeon@sungampat.com&gt;; trademark@sungampat.com; '특허법인 성암/김용대 차장' &lt;trademark16@sungampat.com&gt;; '특허법인 성암/박지훈 과장' &lt;trademark28@sungampat.com&gt;; Jenae Whittaker &lt;jwhittaker@hsmoffice.com&gt;; Phyllis Brown &lt;pbrown@hsmoffice.com&gt;; Huw Moses &lt;hmoses@hsmoffice.com&gt;; Lisa Chin-Forde &lt;lchinforde@hsmoffice.com&gt;</t>
    <phoneticPr fontId="3" type="noConversion"/>
  </si>
  <si>
    <t>Puerto Rico</t>
  </si>
  <si>
    <t>Costa Rica</t>
  </si>
  <si>
    <t>Foreigntrademark &lt;foreigntrademark@iberbrand.com&gt;</t>
    <phoneticPr fontId="3" type="noConversion"/>
  </si>
  <si>
    <t>Gilberto  Martinez &lt;gilberto@iberbrand.com&gt;; Diego &lt;diego@iberbrand.com&gt;; Foreigntrademark &lt;foreigntrademark@iberbrand.com&gt;; shjeon@sungampat.com; trademark@sungampat.com; trademark16@sungampat.com; trademark28@sungampat.com</t>
    <phoneticPr fontId="3" type="noConversion"/>
  </si>
  <si>
    <t>Bangladesh</t>
  </si>
  <si>
    <t>information@islamandcolawoffice.com</t>
  </si>
  <si>
    <t>Saint Kitts &amp; Nevis</t>
  </si>
  <si>
    <t>IP Department &lt;ipdesk@kwfonline.com&gt;</t>
  </si>
  <si>
    <t>Nepal</t>
  </si>
  <si>
    <t>Abhai Pandey | LexOrbis &lt;Abhai@lexorbis.com&gt;</t>
    <phoneticPr fontId="3" type="noConversion"/>
  </si>
  <si>
    <t>shjeon@sungampat.com; trademark@sungampat.com; trademark16@sungampat.com; trademark28@sungampat.com; Manisha Singh | LexOrbis &lt;manisha@lexorbis.com&gt;; Pranab Sanyal | LexOrbis &lt;pranab@lexorbis.com&gt;; F.TM &lt;f.tm@lexorbis.com&gt;; Trademarks | LexOrbis &lt;trademarks@lexorbis.com&gt;; Meenakshi | LexOrbis &lt;Meenakshi@lexorbis.com&gt;; Docket | LexOrbis &lt;docket@lexorbis.com&gt;</t>
    <phoneticPr fontId="3" type="noConversion"/>
  </si>
  <si>
    <t>Guyana</t>
  </si>
  <si>
    <t>Rebecca Tew &lt;RLTew@mathys-squire.com&gt;</t>
    <phoneticPr fontId="3" type="noConversion"/>
  </si>
  <si>
    <t>특허법인 성암/전숙현 변리사' &lt;shjeon@sungampat.com&gt;; '특허법인 성암/상표대표메일' &lt;trademark@sungampat.com&gt;; trademark16@sungampat.com; 'trademark28' &lt;trademark28@sungampat.com&gt;; Sue Wycherley &lt;SWycherley@mathys-squire.com&gt;; Lucy Dayson &lt;LDayson@mathys-squire.com&gt;; Gillian Shaw &lt;GShaw@mathys-squire.com&gt;</t>
    <phoneticPr fontId="3" type="noConversion"/>
  </si>
  <si>
    <t>Venezuela</t>
  </si>
  <si>
    <t>Montoya, Kociecki &amp; Asociados Exterior &lt;exterior@mkmarcas.com&gt;</t>
    <phoneticPr fontId="3" type="noConversion"/>
  </si>
  <si>
    <t>Panama</t>
  </si>
  <si>
    <t>Emily Escartin &lt;emily.escartin@morimor.com&gt;</t>
    <phoneticPr fontId="3" type="noConversion"/>
  </si>
  <si>
    <t>shjeon@sungampat.com; trademark@sungampat.com; trademark16@sungampat.com; trademark28@sungampat.com; Asistentes IP &lt;asistentes.ip@morimor.com&gt;; Allen Candanedo &lt;allen.candanedo@morimor.com&gt;</t>
    <phoneticPr fontId="3" type="noConversion"/>
  </si>
  <si>
    <t>Bahamas</t>
  </si>
  <si>
    <t>Katina Mosko' &lt;kmosko@moskolaw.com&gt;</t>
    <phoneticPr fontId="3" type="noConversion"/>
  </si>
  <si>
    <t>Natasha Neely' &lt;natasha@moskolaw.com&gt;; 'Alexandra Mezulanik' &lt;aamezulanik@moskolaw.com&gt;; '특허법인 성암/전숙현 변리사' &lt;shjeon@sungampat.com&gt;; 'trademark@sungampat.com'; '특허법인 성암/김용대 차장' &lt;trademark16@sungampat.com&gt;; '특허법인 성암/박지훈 과장' &lt;trademark28@sungampat.com&gt;</t>
    <phoneticPr fontId="3" type="noConversion"/>
  </si>
  <si>
    <t>Sri Lanka</t>
  </si>
  <si>
    <t>Trademark M&amp;A Law &lt;tm@nithimurugesu.com&gt;</t>
    <phoneticPr fontId="3" type="noConversion"/>
  </si>
  <si>
    <t>India</t>
    <phoneticPr fontId="2" type="noConversion"/>
  </si>
  <si>
    <t>Japan</t>
    <phoneticPr fontId="2" type="noConversion"/>
  </si>
  <si>
    <t>China</t>
    <phoneticPr fontId="2" type="noConversion"/>
  </si>
  <si>
    <t>France</t>
    <phoneticPr fontId="2" type="noConversion"/>
  </si>
  <si>
    <t>the United States</t>
    <phoneticPr fontId="2" type="noConversion"/>
  </si>
  <si>
    <t>jorge@allendegarcia.com.pe</t>
    <phoneticPr fontId="2" type="noConversion"/>
  </si>
  <si>
    <t>Magali Garcia' &lt;magali@allendegarcia.com.pe&gt;; 'Fabiola Lopez Torres' &lt;fabiola@allendegarcia.com.pe&gt;; shjeon@sungampat.com; trademark@sungampat.com; trademark16@sungampat.com; trademark28@sungampat.com</t>
    <phoneticPr fontId="3" type="noConversion"/>
  </si>
  <si>
    <t>AD</t>
    <phoneticPr fontId="2" type="noConversion"/>
  </si>
  <si>
    <t>Andorra</t>
    <phoneticPr fontId="2" type="noConversion"/>
  </si>
  <si>
    <t>MT</t>
    <phoneticPr fontId="2" type="noConversion"/>
  </si>
  <si>
    <t>Malta</t>
    <phoneticPr fontId="2" type="noConversion"/>
  </si>
  <si>
    <t>PA</t>
    <phoneticPr fontId="2" type="noConversion"/>
  </si>
  <si>
    <t>BS</t>
    <phoneticPr fontId="2" type="noConversion"/>
  </si>
  <si>
    <t>LK</t>
    <phoneticPr fontId="2" type="noConversion"/>
  </si>
  <si>
    <t>Nithi Murugesu &lt;nithi@nithimurugesu.com&gt;; '특허법인 성암/전숙현 변리사' &lt;shjeon@sungampat.com&gt;; trademark@sungampat.com; '특허법인 성암/김용대 차장' &lt;trademark16@sungampat.com&gt;; '특허법인 성암/박지훈 과장' &lt;trademark28@sungampat.com&gt;</t>
    <phoneticPr fontId="3" type="noConversion"/>
  </si>
  <si>
    <t>Bezzina &amp; Mifsud Patentbureau &lt;info@bezmif.com&gt;</t>
    <phoneticPr fontId="3" type="noConversion"/>
  </si>
  <si>
    <t>AC INTELLECTUAL PROPERTY SERVICES, S. A.(구: Asesores del Ca</t>
    <phoneticPr fontId="2" type="noConversion"/>
  </si>
  <si>
    <t>Bermeo &amp; Bermeo Law Firm</t>
    <phoneticPr fontId="2" type="noConversion"/>
  </si>
  <si>
    <t>Bufete Mejia &amp; Asociado</t>
    <phoneticPr fontId="2" type="noConversion"/>
  </si>
  <si>
    <t>CABINET SALES</t>
    <phoneticPr fontId="2" type="noConversion"/>
  </si>
  <si>
    <t>Castillo y Castillo</t>
    <phoneticPr fontId="2" type="noConversion"/>
  </si>
  <si>
    <t>CIKATO</t>
    <phoneticPr fontId="2" type="noConversion"/>
  </si>
  <si>
    <t>Eproint (Portal IP)(EL)</t>
    <phoneticPr fontId="2" type="noConversion"/>
  </si>
  <si>
    <t>Guy Jose Bendana-Guerrero &amp; Asociados</t>
    <phoneticPr fontId="2" type="noConversion"/>
  </si>
  <si>
    <t>Hilborne, Hawkin &amp; Co.</t>
    <phoneticPr fontId="2" type="noConversion"/>
  </si>
  <si>
    <t>HSM IP Ltd. (구: APPLEBY)</t>
    <phoneticPr fontId="2" type="noConversion"/>
  </si>
  <si>
    <t>Iberbrand Intellectual LLC</t>
  </si>
  <si>
    <t>ISLAM &amp; CO</t>
    <phoneticPr fontId="2" type="noConversion"/>
  </si>
  <si>
    <t>Kelsick, Wilkin &amp; Ferdi</t>
    <phoneticPr fontId="2" type="noConversion"/>
  </si>
  <si>
    <t>LexOrbis Intellectual Property Practice</t>
    <phoneticPr fontId="2" type="noConversion"/>
  </si>
  <si>
    <t>MATHYS &amp; SQUIRE LLP (London)</t>
    <phoneticPr fontId="2" type="noConversion"/>
  </si>
  <si>
    <t>Montoya, Kociecki &amp; Asociados(VE)</t>
    <phoneticPr fontId="2" type="noConversion"/>
  </si>
  <si>
    <t>Morgan &amp; Morgan Attorneys at Law</t>
    <phoneticPr fontId="2" type="noConversion"/>
  </si>
  <si>
    <t>Mosko &amp; Associates (구: Mary C. Katina mosko)</t>
    <phoneticPr fontId="2" type="noConversion"/>
  </si>
  <si>
    <t>Nithi Murugesu &amp; Associates</t>
    <phoneticPr fontId="2" type="noConversion"/>
  </si>
  <si>
    <t>ASTURGO, MATEU &amp; associats</t>
  </si>
  <si>
    <t>Bezzina &amp; Mifsud Patent Bureau</t>
  </si>
  <si>
    <t>allende</t>
  </si>
  <si>
    <t>JE</t>
  </si>
  <si>
    <t>MS</t>
  </si>
  <si>
    <t>JE</t>
    <phoneticPr fontId="2" type="noConversion"/>
  </si>
  <si>
    <t>Jersey</t>
    <phoneticPr fontId="2" type="noConversion"/>
  </si>
  <si>
    <t>Rebecca Tew &lt;RLTew@mathys-squire.com&gt;; Sue Wycherley &lt;SWycherley@mathys-squire.com&gt;; Lucy Dayson &lt;LDayson@mathys-squire.com&gt;</t>
    <phoneticPr fontId="3" type="noConversion"/>
  </si>
  <si>
    <t>MATHYS &amp; SQUIRE (Manchester)</t>
  </si>
  <si>
    <t>MS</t>
    <phoneticPr fontId="2" type="noConversion"/>
  </si>
  <si>
    <t>Monserrat</t>
    <phoneticPr fontId="2" type="noConversion"/>
  </si>
  <si>
    <t>trademarks@asturgomateu.ad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</si>
</sst>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color indexed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ovarrubias@covarrubias.legal" TargetMode="External"/><Relationship Id="rId13" Type="http://schemas.openxmlformats.org/officeDocument/2006/relationships/hyperlink" Target="mailto:ukhan@hilbornehawkin.com" TargetMode="External"/><Relationship Id="rId18" Type="http://schemas.openxmlformats.org/officeDocument/2006/relationships/hyperlink" Target="mailto:trademarks@asturgomateu.ad" TargetMode="External"/><Relationship Id="rId3" Type="http://schemas.openxmlformats.org/officeDocument/2006/relationships/hyperlink" Target="mailto:ipadmin1@bufetemejia.com" TargetMode="External"/><Relationship Id="rId7" Type="http://schemas.openxmlformats.org/officeDocument/2006/relationships/hyperlink" Target="mailto:cikato@cikato.com.uy" TargetMode="External"/><Relationship Id="rId12" Type="http://schemas.openxmlformats.org/officeDocument/2006/relationships/hyperlink" Target="mailto:ukhan@hilbornehawkin.com" TargetMode="External"/><Relationship Id="rId17" Type="http://schemas.openxmlformats.org/officeDocument/2006/relationships/hyperlink" Target="mailto:jorge@allendegarcia.com.pe" TargetMode="External"/><Relationship Id="rId2" Type="http://schemas.openxmlformats.org/officeDocument/2006/relationships/hyperlink" Target="mailto:mail@bermeolaw.com" TargetMode="External"/><Relationship Id="rId16" Type="http://schemas.openxmlformats.org/officeDocument/2006/relationships/hyperlink" Target="mailto:kcleary@hsmoffice.com" TargetMode="External"/><Relationship Id="rId1" Type="http://schemas.openxmlformats.org/officeDocument/2006/relationships/hyperlink" Target="mailto:asesoresip@asesoresdelcaribe.com" TargetMode="External"/><Relationship Id="rId6" Type="http://schemas.openxmlformats.org/officeDocument/2006/relationships/hyperlink" Target="mailto:matias.cikato@cikato.com.uy" TargetMode="External"/><Relationship Id="rId11" Type="http://schemas.openxmlformats.org/officeDocument/2006/relationships/hyperlink" Target="mailto:ipprosecution@guybendana.com.ni" TargetMode="External"/><Relationship Id="rId5" Type="http://schemas.openxmlformats.org/officeDocument/2006/relationships/hyperlink" Target="mailto:trademarks@castillo.com.do" TargetMode="External"/><Relationship Id="rId15" Type="http://schemas.openxmlformats.org/officeDocument/2006/relationships/hyperlink" Target="mailto:kcleary@hsmoffice.com" TargetMode="External"/><Relationship Id="rId10" Type="http://schemas.openxmlformats.org/officeDocument/2006/relationships/hyperlink" Target="mailto:mcarrillo@eproint.com" TargetMode="External"/><Relationship Id="rId4" Type="http://schemas.openxmlformats.org/officeDocument/2006/relationships/hyperlink" Target="mailto:clientsupport@bufetemejia.com" TargetMode="External"/><Relationship Id="rId9" Type="http://schemas.openxmlformats.org/officeDocument/2006/relationships/hyperlink" Target="mailto:eportal@eproint.com" TargetMode="External"/><Relationship Id="rId14" Type="http://schemas.openxmlformats.org/officeDocument/2006/relationships/hyperlink" Target="mailto:ukhan@hilbornehawk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5E77-BDB6-478D-A4F1-570DFEFF95B1}">
  <dimension ref="A1:F32"/>
  <sheetViews>
    <sheetView tabSelected="1" topLeftCell="A21" workbookViewId="0">
      <selection activeCell="F29" sqref="F29"/>
    </sheetView>
  </sheetViews>
  <sheetFormatPr defaultRowHeight="16.5" x14ac:dyDescent="0.3"/>
  <cols>
    <col min="1" max="6" width="26.25" style="6" customWidth="1"/>
  </cols>
  <sheetData>
    <row r="1" spans="1:6" ht="56.25" x14ac:dyDescent="0.3">
      <c r="A1" s="1" t="s">
        <v>12</v>
      </c>
      <c r="B1" s="1" t="s">
        <v>0</v>
      </c>
      <c r="C1" s="1" t="s">
        <v>94</v>
      </c>
      <c r="D1" s="2" t="s">
        <v>5</v>
      </c>
      <c r="E1" s="2" t="s">
        <v>6</v>
      </c>
      <c r="F1" s="2" t="s">
        <v>7</v>
      </c>
    </row>
    <row r="2" spans="1:6" ht="135" x14ac:dyDescent="0.3">
      <c r="A2" s="1" t="s">
        <v>13</v>
      </c>
      <c r="B2" s="1" t="s">
        <v>1</v>
      </c>
      <c r="C2" s="1" t="s">
        <v>93</v>
      </c>
      <c r="D2" s="2" t="s">
        <v>5</v>
      </c>
      <c r="E2" s="3" t="s">
        <v>8</v>
      </c>
      <c r="F2" s="2" t="s">
        <v>7</v>
      </c>
    </row>
    <row r="3" spans="1:6" ht="56.25" x14ac:dyDescent="0.3">
      <c r="A3" s="1" t="s">
        <v>14</v>
      </c>
      <c r="B3" s="1" t="s">
        <v>2</v>
      </c>
      <c r="C3" s="1" t="s">
        <v>92</v>
      </c>
      <c r="D3" s="2" t="s">
        <v>5</v>
      </c>
      <c r="E3" s="2" t="s">
        <v>9</v>
      </c>
      <c r="F3" s="2" t="s">
        <v>7</v>
      </c>
    </row>
    <row r="4" spans="1:6" ht="56.25" x14ac:dyDescent="0.3">
      <c r="A4" s="1" t="s">
        <v>15</v>
      </c>
      <c r="B4" s="1" t="s">
        <v>3</v>
      </c>
      <c r="C4" s="1" t="s">
        <v>91</v>
      </c>
      <c r="D4" s="2" t="s">
        <v>5</v>
      </c>
      <c r="E4" s="2" t="s">
        <v>10</v>
      </c>
      <c r="F4" s="2" t="s">
        <v>7</v>
      </c>
    </row>
    <row r="5" spans="1:6" ht="56.25" x14ac:dyDescent="0.3">
      <c r="A5" s="1" t="s">
        <v>16</v>
      </c>
      <c r="B5" s="1" t="s">
        <v>4</v>
      </c>
      <c r="C5" s="1" t="s">
        <v>90</v>
      </c>
      <c r="D5" s="2" t="s">
        <v>5</v>
      </c>
      <c r="E5" s="3" t="s">
        <v>11</v>
      </c>
      <c r="F5" s="2" t="s">
        <v>7</v>
      </c>
    </row>
    <row r="6" spans="1:6" ht="45" x14ac:dyDescent="0.3">
      <c r="A6" s="4" t="s">
        <v>17</v>
      </c>
      <c r="B6" s="9" t="s">
        <v>106</v>
      </c>
      <c r="C6" s="4" t="s">
        <v>37</v>
      </c>
      <c r="D6" s="2" t="s">
        <v>5</v>
      </c>
      <c r="E6" s="2" t="s">
        <v>38</v>
      </c>
      <c r="F6" s="2" t="s">
        <v>39</v>
      </c>
    </row>
    <row r="7" spans="1:6" ht="56.25" x14ac:dyDescent="0.3">
      <c r="A7" s="4" t="s">
        <v>18</v>
      </c>
      <c r="B7" s="9" t="s">
        <v>107</v>
      </c>
      <c r="C7" s="4" t="s">
        <v>40</v>
      </c>
      <c r="D7" s="2" t="s">
        <v>5</v>
      </c>
      <c r="E7" s="2" t="s">
        <v>41</v>
      </c>
      <c r="F7" s="2" t="s">
        <v>42</v>
      </c>
    </row>
    <row r="8" spans="1:6" ht="56.25" x14ac:dyDescent="0.3">
      <c r="A8" s="4" t="s">
        <v>19</v>
      </c>
      <c r="B8" s="9" t="s">
        <v>108</v>
      </c>
      <c r="C8" s="4" t="s">
        <v>43</v>
      </c>
      <c r="D8" s="2" t="s">
        <v>5</v>
      </c>
      <c r="E8" s="2" t="s">
        <v>44</v>
      </c>
      <c r="F8" s="2" t="s">
        <v>45</v>
      </c>
    </row>
    <row r="9" spans="1:6" ht="45" x14ac:dyDescent="0.3">
      <c r="A9" s="4" t="s">
        <v>20</v>
      </c>
      <c r="B9" s="9" t="s">
        <v>109</v>
      </c>
      <c r="C9" s="4" t="s">
        <v>46</v>
      </c>
      <c r="D9" s="2" t="s">
        <v>5</v>
      </c>
      <c r="E9" s="2" t="s">
        <v>47</v>
      </c>
      <c r="F9" s="2" t="s">
        <v>39</v>
      </c>
    </row>
    <row r="10" spans="1:6" ht="45" x14ac:dyDescent="0.3">
      <c r="A10" s="4" t="s">
        <v>21</v>
      </c>
      <c r="B10" s="9" t="s">
        <v>110</v>
      </c>
      <c r="C10" s="4" t="s">
        <v>48</v>
      </c>
      <c r="D10" s="2" t="s">
        <v>5</v>
      </c>
      <c r="E10" s="2" t="s">
        <v>49</v>
      </c>
      <c r="F10" s="2" t="s">
        <v>39</v>
      </c>
    </row>
    <row r="11" spans="1:6" ht="56.25" x14ac:dyDescent="0.3">
      <c r="A11" s="4" t="s">
        <v>22</v>
      </c>
      <c r="B11" s="9" t="s">
        <v>111</v>
      </c>
      <c r="C11" s="4" t="s">
        <v>50</v>
      </c>
      <c r="D11" s="2" t="s">
        <v>5</v>
      </c>
      <c r="E11" s="2" t="s">
        <v>51</v>
      </c>
      <c r="F11" s="2" t="s">
        <v>52</v>
      </c>
    </row>
    <row r="12" spans="1:6" ht="90" x14ac:dyDescent="0.3">
      <c r="A12" s="4" t="s">
        <v>23</v>
      </c>
      <c r="B12" s="9" t="s">
        <v>127</v>
      </c>
      <c r="C12" s="4" t="s">
        <v>53</v>
      </c>
      <c r="D12" s="2" t="s">
        <v>5</v>
      </c>
      <c r="E12" s="8" t="s">
        <v>95</v>
      </c>
      <c r="F12" s="3" t="s">
        <v>96</v>
      </c>
    </row>
    <row r="13" spans="1:6" ht="56.25" x14ac:dyDescent="0.3">
      <c r="A13" s="4" t="s">
        <v>24</v>
      </c>
      <c r="B13" s="9" t="s">
        <v>112</v>
      </c>
      <c r="C13" s="4" t="s">
        <v>54</v>
      </c>
      <c r="D13" s="2" t="s">
        <v>5</v>
      </c>
      <c r="E13" s="2" t="s">
        <v>55</v>
      </c>
      <c r="F13" s="2" t="s">
        <v>56</v>
      </c>
    </row>
    <row r="14" spans="1:6" ht="67.5" x14ac:dyDescent="0.3">
      <c r="A14" s="4" t="s">
        <v>25</v>
      </c>
      <c r="B14" s="9" t="s">
        <v>113</v>
      </c>
      <c r="C14" s="4" t="s">
        <v>57</v>
      </c>
      <c r="D14" s="2" t="s">
        <v>5</v>
      </c>
      <c r="E14" s="2" t="s">
        <v>58</v>
      </c>
      <c r="F14" s="2" t="s">
        <v>39</v>
      </c>
    </row>
    <row r="15" spans="1:6" ht="45" x14ac:dyDescent="0.3">
      <c r="A15" s="4" t="s">
        <v>26</v>
      </c>
      <c r="B15" s="9" t="s">
        <v>114</v>
      </c>
      <c r="C15" s="4" t="s">
        <v>59</v>
      </c>
      <c r="D15" s="2" t="s">
        <v>5</v>
      </c>
      <c r="E15" s="2" t="s">
        <v>60</v>
      </c>
      <c r="F15" s="2" t="s">
        <v>39</v>
      </c>
    </row>
    <row r="16" spans="1:6" ht="45" x14ac:dyDescent="0.3">
      <c r="A16" s="4" t="s">
        <v>27</v>
      </c>
      <c r="B16" s="9" t="s">
        <v>114</v>
      </c>
      <c r="C16" s="4" t="s">
        <v>61</v>
      </c>
      <c r="D16" s="2" t="s">
        <v>5</v>
      </c>
      <c r="E16" s="2" t="s">
        <v>60</v>
      </c>
      <c r="F16" s="2" t="s">
        <v>39</v>
      </c>
    </row>
    <row r="17" spans="1:6" ht="45" x14ac:dyDescent="0.3">
      <c r="A17" s="4" t="s">
        <v>28</v>
      </c>
      <c r="B17" s="9" t="s">
        <v>114</v>
      </c>
      <c r="C17" s="4" t="s">
        <v>62</v>
      </c>
      <c r="D17" s="2" t="s">
        <v>5</v>
      </c>
      <c r="E17" s="2" t="s">
        <v>60</v>
      </c>
      <c r="F17" s="2" t="s">
        <v>39</v>
      </c>
    </row>
    <row r="18" spans="1:6" ht="146.25" x14ac:dyDescent="0.3">
      <c r="A18" s="4" t="s">
        <v>29</v>
      </c>
      <c r="B18" s="9" t="s">
        <v>115</v>
      </c>
      <c r="C18" s="4" t="s">
        <v>63</v>
      </c>
      <c r="D18" s="2" t="s">
        <v>5</v>
      </c>
      <c r="E18" s="2" t="s">
        <v>64</v>
      </c>
      <c r="F18" s="2" t="s">
        <v>65</v>
      </c>
    </row>
    <row r="19" spans="1:6" ht="146.25" x14ac:dyDescent="0.3">
      <c r="A19" s="4" t="s">
        <v>30</v>
      </c>
      <c r="B19" s="9" t="s">
        <v>115</v>
      </c>
      <c r="C19" s="4" t="s">
        <v>66</v>
      </c>
      <c r="D19" s="2" t="s">
        <v>5</v>
      </c>
      <c r="E19" s="2" t="s">
        <v>64</v>
      </c>
      <c r="F19" s="2" t="s">
        <v>65</v>
      </c>
    </row>
    <row r="20" spans="1:6" ht="101.25" x14ac:dyDescent="0.3">
      <c r="A20" s="4" t="s">
        <v>31</v>
      </c>
      <c r="B20" s="9" t="s">
        <v>116</v>
      </c>
      <c r="C20" s="4" t="s">
        <v>67</v>
      </c>
      <c r="D20" s="2" t="s">
        <v>5</v>
      </c>
      <c r="E20" s="2" t="s">
        <v>68</v>
      </c>
      <c r="F20" s="2" t="s">
        <v>69</v>
      </c>
    </row>
    <row r="21" spans="1:6" x14ac:dyDescent="0.3">
      <c r="A21" s="4" t="s">
        <v>32</v>
      </c>
      <c r="B21" s="9" t="s">
        <v>117</v>
      </c>
      <c r="C21" s="4" t="s">
        <v>70</v>
      </c>
      <c r="D21" s="2" t="s">
        <v>5</v>
      </c>
      <c r="E21" s="4" t="s">
        <v>71</v>
      </c>
      <c r="F21" s="4" t="s">
        <v>39</v>
      </c>
    </row>
    <row r="22" spans="1:6" ht="45" x14ac:dyDescent="0.3">
      <c r="A22" s="4" t="s">
        <v>33</v>
      </c>
      <c r="B22" s="9" t="s">
        <v>118</v>
      </c>
      <c r="C22" s="4" t="s">
        <v>72</v>
      </c>
      <c r="D22" s="2" t="s">
        <v>5</v>
      </c>
      <c r="E22" s="4" t="s">
        <v>73</v>
      </c>
      <c r="F22" s="2" t="s">
        <v>39</v>
      </c>
    </row>
    <row r="23" spans="1:6" x14ac:dyDescent="0.3">
      <c r="A23" s="4" t="s">
        <v>34</v>
      </c>
      <c r="B23" s="9" t="s">
        <v>119</v>
      </c>
      <c r="C23" s="4" t="s">
        <v>74</v>
      </c>
      <c r="D23" s="2" t="s">
        <v>5</v>
      </c>
      <c r="E23" s="4" t="s">
        <v>75</v>
      </c>
      <c r="F23" s="4" t="s">
        <v>76</v>
      </c>
    </row>
    <row r="24" spans="1:6" x14ac:dyDescent="0.3">
      <c r="A24" s="4" t="s">
        <v>35</v>
      </c>
      <c r="B24" s="9" t="s">
        <v>120</v>
      </c>
      <c r="C24" s="4" t="s">
        <v>77</v>
      </c>
      <c r="D24" s="2" t="s">
        <v>5</v>
      </c>
      <c r="E24" s="4" t="s">
        <v>78</v>
      </c>
      <c r="F24" s="5" t="s">
        <v>79</v>
      </c>
    </row>
    <row r="25" spans="1:6" x14ac:dyDescent="0.3">
      <c r="A25" s="4" t="s">
        <v>36</v>
      </c>
      <c r="B25" s="9" t="s">
        <v>121</v>
      </c>
      <c r="C25" s="4" t="s">
        <v>80</v>
      </c>
      <c r="D25" s="2" t="s">
        <v>5</v>
      </c>
      <c r="E25" s="4" t="s">
        <v>81</v>
      </c>
      <c r="F25" s="4" t="s">
        <v>39</v>
      </c>
    </row>
    <row r="26" spans="1:6" ht="90" x14ac:dyDescent="0.3">
      <c r="A26" s="4" t="s">
        <v>101</v>
      </c>
      <c r="B26" s="9" t="s">
        <v>122</v>
      </c>
      <c r="C26" s="4" t="s">
        <v>82</v>
      </c>
      <c r="D26" s="2" t="s">
        <v>5</v>
      </c>
      <c r="E26" s="2" t="s">
        <v>83</v>
      </c>
      <c r="F26" s="2" t="s">
        <v>84</v>
      </c>
    </row>
    <row r="27" spans="1:6" ht="123.75" x14ac:dyDescent="0.3">
      <c r="A27" s="4" t="s">
        <v>102</v>
      </c>
      <c r="B27" s="9" t="s">
        <v>123</v>
      </c>
      <c r="C27" s="4" t="s">
        <v>85</v>
      </c>
      <c r="D27" s="2" t="s">
        <v>5</v>
      </c>
      <c r="E27" s="2" t="s">
        <v>86</v>
      </c>
      <c r="F27" s="2" t="s">
        <v>87</v>
      </c>
    </row>
    <row r="28" spans="1:6" ht="101.25" x14ac:dyDescent="0.3">
      <c r="A28" s="4" t="s">
        <v>103</v>
      </c>
      <c r="B28" s="9" t="s">
        <v>124</v>
      </c>
      <c r="C28" s="4" t="s">
        <v>88</v>
      </c>
      <c r="D28" s="2" t="s">
        <v>5</v>
      </c>
      <c r="E28" s="2" t="s">
        <v>89</v>
      </c>
      <c r="F28" s="2" t="s">
        <v>104</v>
      </c>
    </row>
    <row r="29" spans="1:6" ht="45" x14ac:dyDescent="0.3">
      <c r="A29" s="4" t="s">
        <v>97</v>
      </c>
      <c r="B29" s="6" t="s">
        <v>125</v>
      </c>
      <c r="C29" s="4" t="s">
        <v>98</v>
      </c>
      <c r="D29" s="2" t="s">
        <v>5</v>
      </c>
      <c r="E29" s="8" t="s">
        <v>136</v>
      </c>
      <c r="F29" s="2" t="s">
        <v>39</v>
      </c>
    </row>
    <row r="30" spans="1:6" ht="45" x14ac:dyDescent="0.3">
      <c r="A30" s="4" t="s">
        <v>99</v>
      </c>
      <c r="B30" s="6" t="s">
        <v>126</v>
      </c>
      <c r="C30" s="4" t="s">
        <v>100</v>
      </c>
      <c r="D30" s="2" t="s">
        <v>5</v>
      </c>
      <c r="E30" s="2" t="s">
        <v>105</v>
      </c>
      <c r="F30" s="2" t="s">
        <v>39</v>
      </c>
    </row>
    <row r="31" spans="1:6" ht="56.25" x14ac:dyDescent="0.3">
      <c r="A31" s="6" t="s">
        <v>130</v>
      </c>
      <c r="B31" s="11" t="s">
        <v>133</v>
      </c>
      <c r="C31" s="6" t="s">
        <v>131</v>
      </c>
      <c r="D31" s="2" t="s">
        <v>5</v>
      </c>
      <c r="E31" s="2" t="s">
        <v>132</v>
      </c>
      <c r="F31" s="2" t="s">
        <v>39</v>
      </c>
    </row>
    <row r="32" spans="1:6" x14ac:dyDescent="0.3">
      <c r="A32" s="4" t="s">
        <v>134</v>
      </c>
      <c r="B32" s="9" t="s">
        <v>120</v>
      </c>
      <c r="C32" s="4" t="s">
        <v>135</v>
      </c>
      <c r="D32" s="2" t="s">
        <v>5</v>
      </c>
      <c r="E32" s="4" t="s">
        <v>78</v>
      </c>
      <c r="F32" s="5" t="s">
        <v>79</v>
      </c>
    </row>
  </sheetData>
  <phoneticPr fontId="2" type="noConversion"/>
  <hyperlinks>
    <hyperlink ref="E6" r:id="rId1" xr:uid="{2F91B739-42DC-48BB-B18A-0D614B13CFEA}"/>
    <hyperlink ref="E7" r:id="rId2" xr:uid="{F404C59C-F6AD-48E4-A071-D0B9E0E5913D}"/>
    <hyperlink ref="E8" r:id="rId3" xr:uid="{5B9F9588-DCD5-4A0A-85AD-55828791EB31}"/>
    <hyperlink ref="F8" r:id="rId4" display="clientsupport@bufetemejia.com" xr:uid="{4F687DA5-9A83-4211-93A5-984D73A58CC1}"/>
    <hyperlink ref="E10" r:id="rId5" xr:uid="{BE866DD3-F6F9-4006-A89A-0C43FFCF63AE}"/>
    <hyperlink ref="E11" r:id="rId6" xr:uid="{2B285390-45D3-4D91-8B7E-7FEABAAEC4D6}"/>
    <hyperlink ref="F11" r:id="rId7" display="cikato@cikato.com.uy" xr:uid="{B497853D-C854-4488-8B16-CAF47A5A41AE}"/>
    <hyperlink ref="F12" r:id="rId8" display="mailto:acovarrubias@covarrubias.legal" xr:uid="{C454AE40-F5DB-40D1-A8FA-0CA6E7BC8026}"/>
    <hyperlink ref="F13" r:id="rId9" display="eportal@eproint.com" xr:uid="{89B209FC-1562-4D10-8CD4-6B3EE4E8CB37}"/>
    <hyperlink ref="E13" r:id="rId10" display="mailto:mcarrillo@eproint.com" xr:uid="{6B11C57D-975C-4365-894F-3774D26F6482}"/>
    <hyperlink ref="E14" r:id="rId11" display="ipprosecution@guybendana.com.ni" xr:uid="{FE75704B-39F6-44EB-A22A-A57C3BDCA8DF}"/>
    <hyperlink ref="E15" r:id="rId12" display="ukhan@hilbornehawkin.com" xr:uid="{6CF3B6C3-A99F-4F10-B0A3-50ACC4943EE4}"/>
    <hyperlink ref="E16" r:id="rId13" display="ukhan@hilbornehawkin.com" xr:uid="{73D938F6-9B61-4BDA-B28D-B3390E670E08}"/>
    <hyperlink ref="E17" r:id="rId14" display="ukhan@hilbornehawkin.com" xr:uid="{144EF7C9-15FB-4D2D-A2A5-F2FAD9239224}"/>
    <hyperlink ref="E18" r:id="rId15" xr:uid="{AEE22FD9-D630-441F-9177-EFDB4C909DB3}"/>
    <hyperlink ref="E19" r:id="rId16" xr:uid="{5B54DA70-FFBD-4C35-932A-A4C166AED97E}"/>
    <hyperlink ref="E12" r:id="rId17" xr:uid="{7BBB6342-0260-4D57-879C-87D7317FEBAA}"/>
    <hyperlink ref="E29" r:id="rId18" xr:uid="{FD9C54CD-58D7-4E97-8C17-9BCCFBBB790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B349-4DA0-4F27-B454-922E0D075C34}">
  <dimension ref="A2:E7"/>
  <sheetViews>
    <sheetView workbookViewId="0">
      <selection activeCell="J18" sqref="J18"/>
    </sheetView>
  </sheetViews>
  <sheetFormatPr defaultRowHeight="16.5" x14ac:dyDescent="0.3"/>
  <sheetData>
    <row r="2" spans="1:5" x14ac:dyDescent="0.3">
      <c r="A2" s="7" t="s">
        <v>29</v>
      </c>
      <c r="B2" t="str">
        <f>VLOOKUP($A2,Sheet1!$A:$F, 3, FALSE)</f>
        <v>Cayman Islands</v>
      </c>
      <c r="C2" t="str">
        <f>VLOOKUP($A2,Sheet1!$A:$F, 4, FALSE)</f>
        <v>trademark53@sungmapat.com</v>
      </c>
      <c r="D2" t="str">
        <f>VLOOKUP($A2,Sheet1!$A:$F, 5, FALSE)</f>
        <v>kcleary@hsmoffice.com</v>
      </c>
      <c r="E2" t="str">
        <f>VLOOKUP($A2,Sheet1!$A:$F, 6, FALSE)</f>
        <v>특허법인 성암/전숙현 변리사' &lt;shjeon@sungampat.com&gt;; trademark@sungampat.com; '특허법인 성암/김용대 차장' &lt;trademark16@sungampat.com&gt;; '특허법인 성암/박지훈 과장' &lt;trademark28@sungampat.com&gt;; Jenae Whittaker &lt;jwhittaker@hsmoffice.com&gt;; Phyllis Brown &lt;pbrown@hsmoffice.com&gt;; Huw Moses &lt;hmoses@hsmoffice.com&gt;; Lisa Chin-Forde &lt;lchinforde@hsmoffice.com&gt;</v>
      </c>
    </row>
    <row r="3" spans="1:5" x14ac:dyDescent="0.3">
      <c r="A3" s="10" t="s">
        <v>30</v>
      </c>
      <c r="B3" t="str">
        <f>VLOOKUP($A3,Sheet1!$A:$F, 3, FALSE)</f>
        <v>Puerto Rico</v>
      </c>
      <c r="C3" t="str">
        <f>VLOOKUP($A3,Sheet1!$A:$F, 4, FALSE)</f>
        <v>trademark53@sungmapat.com</v>
      </c>
      <c r="D3" t="str">
        <f>VLOOKUP($A3,Sheet1!$A:$F, 5, FALSE)</f>
        <v>kcleary@hsmoffice.com</v>
      </c>
      <c r="E3" t="str">
        <f>VLOOKUP($A3,Sheet1!$A:$F, 6, FALSE)</f>
        <v>특허법인 성암/전숙현 변리사' &lt;shjeon@sungampat.com&gt;; trademark@sungampat.com; '특허법인 성암/김용대 차장' &lt;trademark16@sungampat.com&gt;; '특허법인 성암/박지훈 과장' &lt;trademark28@sungampat.com&gt;; Jenae Whittaker &lt;jwhittaker@hsmoffice.com&gt;; Phyllis Brown &lt;pbrown@hsmoffice.com&gt;; Huw Moses &lt;hmoses@hsmoffice.com&gt;; Lisa Chin-Forde &lt;lchinforde@hsmoffice.com&gt;</v>
      </c>
    </row>
    <row r="4" spans="1:5" x14ac:dyDescent="0.3">
      <c r="A4" s="7" t="s">
        <v>26</v>
      </c>
      <c r="B4" t="str">
        <f>VLOOKUP($A4,Sheet1!$A:$F, 3, FALSE)</f>
        <v>Bermuda</v>
      </c>
      <c r="C4" t="str">
        <f>VLOOKUP($A4,Sheet1!$A:$F, 4, FALSE)</f>
        <v>trademark53@sungmapat.com</v>
      </c>
      <c r="D4" t="str">
        <f>VLOOKUP($A4,Sheet1!$A:$F, 5, FALSE)</f>
        <v>ukhan@hilbornehawkin.com; Info@hilbornehawkin.com</v>
      </c>
      <c r="E4" t="str">
        <f>VLOOKUP($A4,Sheet1!$A:$F, 6, FALSE)</f>
        <v>shjeon@sungampat.com; trademark@sungampat.com; trademark16@sungampat.com; trademark28@sungampat.com</v>
      </c>
    </row>
    <row r="5" spans="1:5" x14ac:dyDescent="0.3">
      <c r="A5" s="7" t="s">
        <v>128</v>
      </c>
      <c r="B5" t="str">
        <f>VLOOKUP($A5,Sheet1!$A:$F, 3, FALSE)</f>
        <v>Jersey</v>
      </c>
      <c r="C5" t="str">
        <f>VLOOKUP($A5,Sheet1!$A:$F, 4, FALSE)</f>
        <v>trademark53@sungmapat.com</v>
      </c>
      <c r="D5" t="str">
        <f>VLOOKUP($A5,Sheet1!$A:$F, 5, FALSE)</f>
        <v>Rebecca Tew &lt;RLTew@mathys-squire.com&gt;; Sue Wycherley &lt;SWycherley@mathys-squire.com&gt;; Lucy Dayson &lt;LDayson@mathys-squire.com&gt;</v>
      </c>
      <c r="E5" t="str">
        <f>VLOOKUP($A5,Sheet1!$A:$F, 6, FALSE)</f>
        <v>shjeon@sungampat.com; trademark@sungampat.com; trademark16@sungampat.com; trademark28@sungampat.com</v>
      </c>
    </row>
    <row r="6" spans="1:5" x14ac:dyDescent="0.3">
      <c r="A6" s="7" t="s">
        <v>35</v>
      </c>
      <c r="B6" t="str">
        <f>VLOOKUP($A6,Sheet1!$A:$F, 3, FALSE)</f>
        <v>Guyana</v>
      </c>
      <c r="C6" t="str">
        <f>VLOOKUP($A6,Sheet1!$A:$F, 4, FALSE)</f>
        <v>trademark53@sungmapat.com</v>
      </c>
      <c r="D6" t="str">
        <f>VLOOKUP($A6,Sheet1!$A:$F, 5, FALSE)</f>
        <v>Rebecca Tew &lt;RLTew@mathys-squire.com&gt;</v>
      </c>
      <c r="E6" t="str">
        <f>VLOOKUP($A6,Sheet1!$A:$F, 6, FALSE)</f>
        <v>특허법인 성암/전숙현 변리사' &lt;shjeon@sungampat.com&gt;; '특허법인 성암/상표대표메일' &lt;trademark@sungampat.com&gt;; trademark16@sungampat.com; 'trademark28' &lt;trademark28@sungampat.com&gt;; Sue Wycherley &lt;SWycherley@mathys-squire.com&gt;; Lucy Dayson &lt;LDayson@mathys-squire.com&gt;; Gillian Shaw &lt;GShaw@mathys-squire.com&gt;</v>
      </c>
    </row>
    <row r="7" spans="1:5" x14ac:dyDescent="0.3">
      <c r="A7" s="7" t="s">
        <v>129</v>
      </c>
      <c r="B7" t="str">
        <f>VLOOKUP($A7,Sheet1!$A:$F, 3, FALSE)</f>
        <v>Monserrat</v>
      </c>
      <c r="C7" t="str">
        <f>VLOOKUP($A7,Sheet1!$A:$F, 4, FALSE)</f>
        <v>trademark53@sungmapat.com</v>
      </c>
      <c r="D7" t="str">
        <f>VLOOKUP($A7,Sheet1!$A:$F, 5, FALSE)</f>
        <v>Rebecca Tew &lt;RLTew@mathys-squire.com&gt;</v>
      </c>
      <c r="E7" t="str">
        <f>VLOOKUP($A7,Sheet1!$A:$F, 6, FALSE)</f>
        <v>특허법인 성암/전숙현 변리사' &lt;shjeon@sungampat.com&gt;; '특허법인 성암/상표대표메일' &lt;trademark@sungampat.com&gt;; trademark16@sungampat.com; 'trademark28' &lt;trademark28@sungampat.com&gt;; Sue Wycherley &lt;SWycherley@mathys-squire.com&gt;; Lucy Dayson &lt;LDayson@mathys-squire.com&gt;; Gillian Shaw &lt;GShaw@mathys-squire.com&gt;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기범 김</dc:creator>
  <cp:lastModifiedBy>기범 김</cp:lastModifiedBy>
  <dcterms:created xsi:type="dcterms:W3CDTF">2025-11-04T04:51:57Z</dcterms:created>
  <dcterms:modified xsi:type="dcterms:W3CDTF">2025-11-10T02:04:12Z</dcterms:modified>
</cp:coreProperties>
</file>